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nd Maps " sheetId="1" r:id="rId5"/>
    <sheet state="visible" name="TestScenarios" sheetId="2" r:id="rId6"/>
    <sheet state="visible" name="TestCase" sheetId="3" r:id="rId7"/>
    <sheet state="visible" name="Test Summary Report" sheetId="4" r:id="rId8"/>
    <sheet state="visible" name="Bug Report" sheetId="5" r:id="rId9"/>
    <sheet state="visible" name="Test Metrics" sheetId="6" r:id="rId10"/>
  </sheets>
  <definedNames/>
  <calcPr/>
</workbook>
</file>

<file path=xl/sharedStrings.xml><?xml version="1.0" encoding="utf-8"?>
<sst xmlns="http://schemas.openxmlformats.org/spreadsheetml/2006/main" count="695" uniqueCount="386">
  <si>
    <t>Prepared By: Md. Asif Hassan</t>
  </si>
  <si>
    <t>Project Name</t>
  </si>
  <si>
    <t>Startech.bd.com</t>
  </si>
  <si>
    <t>Reference Document</t>
  </si>
  <si>
    <t>-</t>
  </si>
  <si>
    <t>Created By</t>
  </si>
  <si>
    <t>Md. Asif Hassan</t>
  </si>
  <si>
    <t>Creation Date</t>
  </si>
  <si>
    <t>Approval Date</t>
  </si>
  <si>
    <t>Test Scenario ID</t>
  </si>
  <si>
    <t>Reference</t>
  </si>
  <si>
    <t>Test Scenario Description</t>
  </si>
  <si>
    <t>Priority</t>
  </si>
  <si>
    <t>Number of Test Cases</t>
  </si>
  <si>
    <t>TS_001</t>
  </si>
  <si>
    <t>Validate the URL in different browsers.</t>
  </si>
  <si>
    <t>P0</t>
  </si>
  <si>
    <t>TS_002</t>
  </si>
  <si>
    <t>Validate the "Register Account" functionality</t>
  </si>
  <si>
    <t>P1</t>
  </si>
  <si>
    <t>TS_004</t>
  </si>
  <si>
    <t>Validate the working of the "Login" functionality.</t>
  </si>
  <si>
    <t>TS_006</t>
  </si>
  <si>
    <t>Validate the working of "Add to cart" functionality.</t>
  </si>
  <si>
    <t>Validate the working of " Total amount" functionality.</t>
  </si>
  <si>
    <t>TS_009</t>
  </si>
  <si>
    <t>Validate the working of "Screenshot" functionality.</t>
  </si>
  <si>
    <t>P4</t>
  </si>
  <si>
    <t>TS_010</t>
  </si>
  <si>
    <t>Validate the working of "Search Bar" functionality.</t>
  </si>
  <si>
    <t>TS_012</t>
  </si>
  <si>
    <t>Validate the working of "Gadget Fest" functionality.</t>
  </si>
  <si>
    <t>P5</t>
  </si>
  <si>
    <t>TS_013</t>
  </si>
  <si>
    <t>Validate the working of "Get offer" functionality.</t>
  </si>
  <si>
    <t>TS_014</t>
  </si>
  <si>
    <t>Validate the working of "OTP" functionality.</t>
  </si>
  <si>
    <t>TS_015</t>
  </si>
  <si>
    <t>Validate the working of "Forgotten Password?" functionality.</t>
  </si>
  <si>
    <t>P2</t>
  </si>
  <si>
    <t>TS_016</t>
  </si>
  <si>
    <t>Validate the working of "Mobile Deal" functionality.</t>
  </si>
  <si>
    <t>P3</t>
  </si>
  <si>
    <t>TS_017</t>
  </si>
  <si>
    <t>Validate the working of "PC Builder" functionality.</t>
  </si>
  <si>
    <t>TS_018</t>
  </si>
  <si>
    <t>Validate the working of "accessories"functionality.</t>
  </si>
  <si>
    <t>TS_019</t>
  </si>
  <si>
    <t>Validate the working of "office-equipment" functionality.</t>
  </si>
  <si>
    <t>TS_020</t>
  </si>
  <si>
    <t>Validate the working of "SUPPORT"functionality.</t>
  </si>
  <si>
    <t>TS_021</t>
  </si>
  <si>
    <t>Validating the ability to take user to their designated floor</t>
  </si>
  <si>
    <t>Product Name</t>
  </si>
  <si>
    <r>
      <rPr>
        <rFont val="Calibri"/>
        <color rgb="FF1155CC"/>
        <sz val="10.0"/>
        <u/>
      </rPr>
      <t>Startech</t>
    </r>
  </si>
  <si>
    <t>TC Start Date</t>
  </si>
  <si>
    <t>28/09/2024</t>
  </si>
  <si>
    <t>TC Execution Start Date</t>
  </si>
  <si>
    <t>- -</t>
  </si>
  <si>
    <t>TEST CASE</t>
  </si>
  <si>
    <t>Module Name</t>
  </si>
  <si>
    <t>Account</t>
  </si>
  <si>
    <t>TC End Date</t>
  </si>
  <si>
    <t>TC Execution End Date</t>
  </si>
  <si>
    <t>PASS</t>
  </si>
  <si>
    <t>Epic</t>
  </si>
  <si>
    <t>Test Case Developed By</t>
  </si>
  <si>
    <t>Browser (tested)</t>
  </si>
  <si>
    <t>Yes</t>
  </si>
  <si>
    <t>FAIL</t>
  </si>
  <si>
    <t>Developer Name (TL)</t>
  </si>
  <si>
    <t>Test Case Reviewed By</t>
  </si>
  <si>
    <t>Performance (tested)</t>
  </si>
  <si>
    <t>NO RUN</t>
  </si>
  <si>
    <t>Test Executed by</t>
  </si>
  <si>
    <t>BLOCKED</t>
  </si>
  <si>
    <t>TOTAL</t>
  </si>
  <si>
    <t>Module</t>
  </si>
  <si>
    <t>Type of Testing</t>
  </si>
  <si>
    <t>Features</t>
  </si>
  <si>
    <t>Test Cases</t>
  </si>
  <si>
    <t>Exepected Result</t>
  </si>
  <si>
    <t>#SL</t>
  </si>
  <si>
    <t>Test Data</t>
  </si>
  <si>
    <t>Reproducing
 Steps</t>
  </si>
  <si>
    <t>Bugs Screen Shot</t>
  </si>
  <si>
    <t>Dev Comments</t>
  </si>
  <si>
    <t>Final Status</t>
  </si>
  <si>
    <t>Remarks</t>
  </si>
  <si>
    <t>Browser 
Compatibility Testing</t>
  </si>
  <si>
    <t>Checking by running the URL site in different browsers.</t>
  </si>
  <si>
    <t>Should be run in different browsers.</t>
  </si>
  <si>
    <t>Found as per expectation.</t>
  </si>
  <si>
    <t>Browsers-Chrome, 
 Internet Explorer, Mozilla Firefox,
 Microsoft Edge,
 Opera Mini.</t>
  </si>
  <si>
    <t>1. Go to different browsers.
2. Search 'Startech' 
3. Go to the website.</t>
  </si>
  <si>
    <t>Passed</t>
  </si>
  <si>
    <t>Login</t>
  </si>
  <si>
    <t>Verify the alignment of displayed elements on the login screen
 should be compatible in cross browsers testing.</t>
  </si>
  <si>
    <t>Should be clicked on the "Login" link.</t>
  </si>
  <si>
    <t>None</t>
  </si>
  <si>
    <t>1. Goto the URL
 https://www.startech.com.bd/
 2. Click on the Account button in the right corner.
 3. Click the "Register" link</t>
  </si>
  <si>
    <t>Failed</t>
  </si>
  <si>
    <t>Verify all login-related elements and fields are present on the login
 page.</t>
  </si>
  <si>
    <t>Should be present the mandatory field .</t>
  </si>
  <si>
    <t>1. Go to the URL
 https://www.startech.com.bd/
 2. Click on the Account button in the right corner.
 3. Click the "Register" link and check the spelling and grammatical mistakes.</t>
  </si>
  <si>
    <t>Verify the displayed element are in alignment from.</t>
  </si>
  <si>
    <t>Elements should be in aligment from. .</t>
  </si>
  <si>
    <t>1. Goto the URL
 https://www.startech.com.bd/
 2. Click on the Account button in the right corner.
 3. Click the "Register" link and check * this sign.</t>
  </si>
  <si>
    <t>Verify that the size, color, and UI of different elements should match
 the specifications.</t>
  </si>
  <si>
    <t>Should be as per the client requirement</t>
  </si>
  <si>
    <t>Verify that the login page of the application is responsive and aligns
 properly on different screen resolutions and devices</t>
  </si>
  <si>
    <t>A text should appear over the fields.</t>
  </si>
  <si>
    <t>1. Goto the URL
 https://www.startech.com.bd/
 2. Click on the Account button in the right corner.
 3. Click the "Register" link and check Hover over every fields.</t>
  </si>
  <si>
    <t>Verify login page title.</t>
  </si>
  <si>
    <t>The title should be as client requirement</t>
  </si>
  <si>
    <t>1. Goto the URL
 https://www.startech.com.bd/
 2. Click on the Account button in the right corner.
 3. Click the "Register" link and check the alignment.</t>
  </si>
  <si>
    <t>Verify the cursour in the "Email box " by default.</t>
  </si>
  <si>
    <t>Fields should be in empty position.</t>
  </si>
  <si>
    <t>1. Goto the URL
 https://www.startech.com.bd/
 2. Click on the Account button in the right corner.
 3. Click the "Register" link and check the input fields.</t>
  </si>
  <si>
    <t>Verify the " Confirm" button hovering or not.</t>
  </si>
  <si>
    <t>when hovering the button should be changed the color.</t>
  </si>
  <si>
    <t>1. Goto the URL
 https://www.startech.com.bd/
 2. Click on the Account button in the right corner.
 3. Click the "Register" link and check the " Confirm" button.</t>
  </si>
  <si>
    <t>Verify that there is a checkbox with the label "remember password"
 on the login page.</t>
  </si>
  <si>
    <t>There should be a check box for this action.</t>
  </si>
  <si>
    <t>Verify the user credential remained on the field after clicking remember and get back to the login
 screen again.</t>
  </si>
  <si>
    <t>user credential should be reminder</t>
  </si>
  <si>
    <t>Verify that the user will be able to log in with their account with the correct credential</t>
  </si>
  <si>
    <t>User should be able to login with correct credintial</t>
  </si>
  <si>
    <t>Verify that the user can access all controls and elements by pressing the Tab key from the keyboard.</t>
  </si>
  <si>
    <t>Should be able to use Tab key</t>
  </si>
  <si>
    <t>Verify that the password entered should be in encrypted form.</t>
  </si>
  <si>
    <t>The password entered should be in encrypted form.</t>
  </si>
  <si>
    <t>Verify whether an eye icon is added to the password field or not.</t>
  </si>
  <si>
    <t>Should be there a eye icon</t>
  </si>
  <si>
    <t>There should be an email verification check, as the user verifies the email address then the user is able
 to view the dashboard and access features.</t>
  </si>
  <si>
    <t>Should be an email verification check</t>
  </si>
  <si>
    <t>Verify the error message should display after just entering an email address and leaving the password
 field blank.</t>
  </si>
  <si>
    <t>Should give an error message</t>
  </si>
  <si>
    <t>Verify the error message should display after just entering a password and leaving the email field blank.</t>
  </si>
  <si>
    <t>The error message should display after just entering a password</t>
  </si>
  <si>
    <t>Verify the error message should display after entering the invalid credentials.</t>
  </si>
  <si>
    <t>Verify the error message should display after entering an invalid email format.</t>
  </si>
  <si>
    <t>The error message should display if the email is invalid</t>
  </si>
  <si>
    <t>Verify the displayed error message grammar should be correct.</t>
  </si>
  <si>
    <t>Erro massage should be grammaticaly correct</t>
  </si>
  <si>
    <t>Verify the displayed error message spell should be correct.</t>
  </si>
  <si>
    <t>The spelling of error message should be correct.</t>
  </si>
  <si>
    <t>Check logged in user should not log out on closing the browser.</t>
  </si>
  <si>
    <t>Browser should not be closed when new browser is opend</t>
  </si>
  <si>
    <t>Verify logged-in user doesn’t log out by clicking the back button on the browsers tab.</t>
  </si>
  <si>
    <t>User should not out logged out by clicking the back button</t>
  </si>
  <si>
    <t>Verify all the functionalities should be working condition as the user sign-in from social login in
 Facebook and Google.</t>
  </si>
  <si>
    <t>Should be logged in the current page if the user use the social media .</t>
  </si>
  <si>
    <t>Verify logged-in user copies the URL and pastes it into a new browser window, it should redirect to the login page</t>
  </si>
  <si>
    <t>User should copy the url.</t>
  </si>
  <si>
    <t>Verify it should not be always in loading in case the user adds an invalid email and password.</t>
  </si>
  <si>
    <t>User should not not be always in loading in case the user adds an invalid email and password.</t>
  </si>
  <si>
    <t>Keeping mandatory fields blank</t>
  </si>
  <si>
    <t>Should be blanked to put data.</t>
  </si>
  <si>
    <t>1. Go to the URL
 https://www.startech.com.bd/
 2. Click on the Account button in the right corner.
 3. Click the "Register" link and check the fields.</t>
  </si>
  <si>
    <t>Checking firstname and lastname field is case insensitive</t>
  </si>
  <si>
    <t>Should accept the provided input</t>
  </si>
  <si>
    <t>AAcccEEE</t>
  </si>
  <si>
    <t>1. Go to the URL
 https://www.startech.com.bd/
 2. Click on the Account button in the right corner.
 3. Click the "Register" link and put data on the mentioned field.</t>
  </si>
  <si>
    <t>Entering blank at first position in firstname and lastname field.</t>
  </si>
  <si>
    <t>Should not accept the provided input</t>
  </si>
  <si>
    <t>AAcccEEE &amp; BBcceE</t>
  </si>
  <si>
    <t>Inputting first name and last name with special characters.</t>
  </si>
  <si>
    <t>Should not accept this special character as provided input.</t>
  </si>
  <si>
    <t>Found not as per expectation.</t>
  </si>
  <si>
    <t>*($# *($#</t>
  </si>
  <si>
    <t>Special character error</t>
  </si>
  <si>
    <t>Inputting firstname and lastname with numbers</t>
  </si>
  <si>
    <t>Should not accept a number as provided input.</t>
  </si>
  <si>
    <t>12345 &amp; 67890</t>
  </si>
  <si>
    <t>Numer errors in first and last name</t>
  </si>
  <si>
    <t>Inputing firstname and lastname with decimal numbers</t>
  </si>
  <si>
    <t>Should not accept a any decimal number as provided input.</t>
  </si>
  <si>
    <t>.arAS &amp; ,GSdf</t>
  </si>
  <si>
    <t>Decimal value error</t>
  </si>
  <si>
    <t>Inputing firstname and lastname with alphanumeric characters</t>
  </si>
  <si>
    <t>Found as per expectation</t>
  </si>
  <si>
    <t>John88
 lizz44</t>
  </si>
  <si>
    <t>Register Account</t>
  </si>
  <si>
    <t>Inputing firstname and lastname with alphabets</t>
  </si>
  <si>
    <t>John 
Austin</t>
  </si>
  <si>
    <t>Entering comma between alphabets for firstname and lastname</t>
  </si>
  <si>
    <t>Should not accept comma between the first name and last name</t>
  </si>
  <si>
    <t>Found not as per expectation</t>
  </si>
  <si>
    <t xml:space="preserve">Firstname: Joh,n  
Lastname: Aus,tin </t>
  </si>
  <si>
    <t>comma error</t>
  </si>
  <si>
    <t>Giving space between alphabets for firstname and lastname</t>
  </si>
  <si>
    <t>Should have a gap between the first name and last name</t>
  </si>
  <si>
    <t>John
Austin</t>
  </si>
  <si>
    <t>Checking newsteller checkbox.</t>
  </si>
  <si>
    <t>Should function successfully.</t>
  </si>
  <si>
    <t>N/A</t>
  </si>
  <si>
    <t>Validating an email id can only be used one time</t>
  </si>
  <si>
    <t>Should not allow user to register and display a pop message</t>
  </si>
  <si>
    <t>mdasif.hassan@gmail.com</t>
  </si>
  <si>
    <t>Checking by inputing invalid email format</t>
  </si>
  <si>
    <t>Should not accept the provided input and display an error message</t>
  </si>
  <si>
    <t>wecokix691@@@@muzitp.com</t>
  </si>
  <si>
    <t>Invalid email users also can registration.</t>
  </si>
  <si>
    <t>Checking by inputing valid email format</t>
  </si>
  <si>
    <t>Should accept the provided input a.</t>
  </si>
  <si>
    <t>Checking by inputting invalid mobile number .</t>
  </si>
  <si>
    <t>Give error</t>
  </si>
  <si>
    <t>Check the sending OPT.</t>
  </si>
  <si>
    <t>Should send an OTP to the valid phone number.</t>
  </si>
  <si>
    <t>1. Go to the URL
 https://www.startech.com.bd/
 2. Click on the Account button in the right corner.
 3. Click the "Register" link and put data in the mentioned field. 4. Go to Continue</t>
  </si>
  <si>
    <t>Check the sending OPT numer</t>
  </si>
  <si>
    <t>Should send an OTP to the valid phone number with numeric number.</t>
  </si>
  <si>
    <t>Checking password and confirm field values are masked</t>
  </si>
  <si>
    <t>Should be masked.</t>
  </si>
  <si>
    <t>Inputing invalid combinations of characters in password and confirm password field</t>
  </si>
  <si>
    <t>john8888</t>
  </si>
  <si>
    <t>Inputting weak password length</t>
  </si>
  <si>
    <t>Should allow user to register</t>
  </si>
  <si>
    <t>hhg#k88</t>
  </si>
  <si>
    <t>1. Go to the URL
 https://www.startech.com.bd/
 2. Click on the Account button in the right corner.
 3. Click the "Register" link and put data in the mentioned field. 4. Go to Continue. 5. give otp and password.</t>
  </si>
  <si>
    <t>Inputing medium password length</t>
  </si>
  <si>
    <t>hhg#k89</t>
  </si>
  <si>
    <t>Inputing strong password length</t>
  </si>
  <si>
    <t>hgjkgjkjkjh!&amp;*77</t>
  </si>
  <si>
    <t>Inputing valid data for password and confirm password</t>
  </si>
  <si>
    <t>john@8888</t>
  </si>
  <si>
    <t>Checking visiting the site again by unselecting 'Remember Me'</t>
  </si>
  <si>
    <t>Firstname: veronica
Lastname: dsouza
Email: veronicadsouza970@gmail.com
Password: veronica@44
Confirm Password: veronica@44
Remember Me: Unselect</t>
  </si>
  <si>
    <t>Checking captcha inputing invalid data</t>
  </si>
  <si>
    <t>Should not accept the captcha and pop an error message</t>
  </si>
  <si>
    <t>ghj8</t>
  </si>
  <si>
    <t>Keeping captcha field blank</t>
  </si>
  <si>
    <t>Should not enable user to register and pop an error message</t>
  </si>
  <si>
    <t>Checking captcha is case insensitive</t>
  </si>
  <si>
    <t>Should be case insensitive</t>
  </si>
  <si>
    <t>HgWy7</t>
  </si>
  <si>
    <t>Checking new captcha is generated on page reload</t>
  </si>
  <si>
    <t>Should generate new captcha</t>
  </si>
  <si>
    <t>v5Br</t>
  </si>
  <si>
    <t>Checking new captcha is generated adding wrong captcha</t>
  </si>
  <si>
    <t>k9nb</t>
  </si>
  <si>
    <t>Checking reload captcha option</t>
  </si>
  <si>
    <t>Checking captcha inputing valid data</t>
  </si>
  <si>
    <t>m433</t>
  </si>
  <si>
    <t>Account Login</t>
  </si>
  <si>
    <t>Check login with valid mail</t>
  </si>
  <si>
    <t>Should allow user to login</t>
  </si>
  <si>
    <t>password</t>
  </si>
  <si>
    <t>1. Go to the URL
 https://www.startech.com.bd/ . 3. Click on login link.</t>
  </si>
  <si>
    <t>Check login with invalid mail</t>
  </si>
  <si>
    <t>Should not allow user to login.</t>
  </si>
  <si>
    <t>Check login with valid phone number</t>
  </si>
  <si>
    <t>hassan124238</t>
  </si>
  <si>
    <t>Check login with Invalid phone number</t>
  </si>
  <si>
    <t>hassan124234569</t>
  </si>
  <si>
    <t>Checking login button with valid credentials</t>
  </si>
  <si>
    <t>Firstname: veronica
 Lastname: dsouza
 Email: veronicadsouza970@gmail.com
 Password: veronica@44
 Confirm Password: veronica@44</t>
  </si>
  <si>
    <t>Checking copy paste functionality in every field</t>
  </si>
  <si>
    <t>Should copy and paste text from fields</t>
  </si>
  <si>
    <t>Functioning successfully</t>
  </si>
  <si>
    <t>jane1111</t>
  </si>
  <si>
    <t>1. Go to the URL
 https://www.startech.com.bd/
 2. Click on the Account button in the right corner.
 3. Click the "Register" link and put data in the mentioned field. 4. Go to Continue. 5. give otp and</t>
  </si>
  <si>
    <t>Checking keyboard tab button functionality</t>
  </si>
  <si>
    <t>Should switch to another field and highlight text</t>
  </si>
  <si>
    <t>Enter tab in every field</t>
  </si>
  <si>
    <t>Checking keyboard enter button functionality</t>
  </si>
  <si>
    <t>Should switch to another field</t>
  </si>
  <si>
    <t>input Enter in every field</t>
  </si>
  <si>
    <t>Remember Me' checkbox should be selected according to user</t>
  </si>
  <si>
    <t>Improvement 
 Scopes</t>
  </si>
  <si>
    <t>A maximum length of the password should be defined if user put the max value</t>
  </si>
  <si>
    <t>Place the 'Forgot your password link below the Password field</t>
  </si>
  <si>
    <t>Social media links may be in include under the login section</t>
  </si>
  <si>
    <t>Test Case Report</t>
  </si>
  <si>
    <t xml:space="preserve">Result </t>
  </si>
  <si>
    <t xml:space="preserve">Project Name   </t>
  </si>
  <si>
    <t>Startech bd LTD</t>
  </si>
  <si>
    <t xml:space="preserve">Total No. </t>
  </si>
  <si>
    <t>Status</t>
  </si>
  <si>
    <t>Feature Name</t>
  </si>
  <si>
    <t>Register Account &amp;  Account Login</t>
  </si>
  <si>
    <t>Test Case Version</t>
  </si>
  <si>
    <t>Not Executed</t>
  </si>
  <si>
    <t>Written By</t>
  </si>
  <si>
    <t>Out of Scope</t>
  </si>
  <si>
    <t>Executed By</t>
  </si>
  <si>
    <t>Reviewed By</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</si>
  <si>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</si>
  <si>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</si>
  <si>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</si>
  <si>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</si>
  <si>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</si>
  <si>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</si>
  <si>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</si>
  <si>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</si>
  <si>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</si>
  <si>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</si>
  <si>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</si>
  <si>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</si>
  <si>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</si>
  <si>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</si>
  <si>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</si>
  <si>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</si>
  <si>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</si>
  <si>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</si>
  <si>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</si>
  <si>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</si>
  <si>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</si>
  <si>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</si>
  <si>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</si>
  <si>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</si>
  <si>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</si>
  <si>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</si>
  <si>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</si>
  <si>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</si>
  <si>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</si>
  <si>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New Features</t>
  </si>
  <si>
    <t>Testing Scope</t>
  </si>
  <si>
    <t xml:space="preserve">Testing Environment :Google Chrome Browser </t>
  </si>
  <si>
    <t>Bug Reporting</t>
  </si>
  <si>
    <t># SL 01</t>
  </si>
  <si>
    <t>Issue: First and last names should not start with a special character.</t>
  </si>
  <si>
    <t>Reproducing Steps:</t>
  </si>
  <si>
    <t>1. Goto the URL
https://www.startech.com.bd/
 2. Click on the Register button at the right corner.
 3. Fill all the fiels with valid credentials</t>
  </si>
  <si>
    <t>4. Click 'Continue'.</t>
  </si>
  <si>
    <t>Env: Production.</t>
  </si>
  <si>
    <t>Module: Register</t>
  </si>
  <si>
    <t>Severity: P4</t>
  </si>
  <si>
    <t>Screenshot: First and last names should not start with a special character</t>
  </si>
  <si>
    <t>Responsible QA: Md. Asif Hassan</t>
  </si>
  <si>
    <t># SL 02</t>
  </si>
  <si>
    <t>Issue: First name and last name should not start with number.</t>
  </si>
  <si>
    <t>1. Goto the URL
https://www.startech.com.bd/
 2. Click on the Login button at the right corner
 3. Fill all the fields with invalid credentials
 4. Click ''Forgotten Password?"</t>
  </si>
  <si>
    <t>Env: Production</t>
  </si>
  <si>
    <t>Module: Login</t>
  </si>
  <si>
    <t>Severity: P5</t>
  </si>
  <si>
    <t>Screenshot: First name and last name should not start with number</t>
  </si>
  <si>
    <t># SL 03</t>
  </si>
  <si>
    <t>Issue: First name and last name should not start decimal.</t>
  </si>
  <si>
    <t>Screenshot: First name and last name should not start decimal.</t>
  </si>
  <si>
    <t># SL 04</t>
  </si>
  <si>
    <t>Issue: A comma should not be expected between the name field.</t>
  </si>
  <si>
    <r>
      <rPr>
        <rFont val="Calibri"/>
        <color rgb="FF000000"/>
        <sz val="11.0"/>
      </rPr>
      <t xml:space="preserve">1. Goto the URL
</t>
    </r>
    <r>
      <rPr>
        <rFont val="Calibri"/>
        <color rgb="FF000000"/>
        <sz val="11.0"/>
      </rPr>
      <t>https://www.startech.com.bd/</t>
    </r>
    <r>
      <rPr>
        <rFont val="Calibri"/>
        <color rgb="FF000000"/>
        <sz val="11.0"/>
      </rPr>
      <t xml:space="preserve">
 2. Click on the Login button at the right corner
 3. Fill all the fields with invalid credentials
 4. Click ''Forgotten Password?"</t>
    </r>
  </si>
  <si>
    <t>Severity: P6</t>
  </si>
  <si>
    <t>Add text with Comma in first name and last name</t>
  </si>
  <si>
    <t># SL 05</t>
  </si>
  <si>
    <t>Issue: Registered with invalid email address.</t>
  </si>
  <si>
    <t>1. Goto the URL
https://www.startech.com.bd/
 2. Click on the Register button at the right corner.
 3. Fill all the files with valid credentials. 4. Click 'Continue'.</t>
  </si>
  <si>
    <t>Priority: High | Medium | Low</t>
  </si>
  <si>
    <t>Severity: Blocker | Critical | Major | Minor</t>
  </si>
  <si>
    <t>Screenshot: Invalid email address error</t>
  </si>
  <si>
    <t>Expected: Should not allow registration with invalid email address.</t>
  </si>
  <si>
    <t># SL 06</t>
  </si>
  <si>
    <t>Issue: Click on "Forgotten Password?" and Account deleted</t>
  </si>
  <si>
    <t>Severity: P2</t>
  </si>
  <si>
    <t>Screenshot: "Forgotten Password" error</t>
  </si>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</sst>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9">
    <font>
      <sz val="10.0"/>
      <color rgb="FF000000"/>
      <name val="Arial"/>
      <scheme val="minor"/>
    </font>
    <font>
      <b/>
      <sz val="11.0"/>
      <color theme="1"/>
      <name val="Calibri"/>
    </font>
    <font>
      <color theme="1"/>
      <name val="Calibri"/>
    </font>
    <font>
      <b/>
      <sz val="11.0"/>
      <color rgb="FFFFFFFF"/>
      <name val="Calibri"/>
    </font>
    <font>
      <b/>
      <u/>
      <sz val="11.0"/>
      <color rgb="FF0000FF"/>
      <name val="Calibri"/>
    </font>
    <font/>
    <font>
      <sz val="11.0"/>
      <color rgb="FF000000"/>
      <name val="Calibri"/>
    </font>
    <font>
      <b/>
      <sz val="10.0"/>
      <color rgb="FF000000"/>
      <name val="Calibri"/>
    </font>
    <font>
      <sz val="10.0"/>
      <color theme="1"/>
      <name val="Calibri"/>
    </font>
    <font>
      <sz val="10.0"/>
      <color rgb="FF000000"/>
      <name val="Calibri"/>
    </font>
    <font>
      <sz val="10.0"/>
      <color rgb="FFFF0000"/>
      <name val="Calibri"/>
    </font>
    <font>
      <sz val="10.0"/>
      <color theme="1"/>
      <name val="Arial"/>
      <scheme val="minor"/>
    </font>
    <font>
      <u/>
      <sz val="10.0"/>
      <color rgb="FF0000FF"/>
      <name val="Calibri"/>
    </font>
    <font>
      <b/>
      <sz val="10.0"/>
      <color rgb="FFFFFFFF"/>
      <name val="Calibri"/>
    </font>
    <font>
      <b/>
      <sz val="10.0"/>
      <color rgb="FFFF0000"/>
      <name val="Calibri"/>
    </font>
    <font>
      <sz val="10.0"/>
      <color rgb="FFFFFFFF"/>
      <name val="Calibri"/>
    </font>
    <font>
      <u/>
      <sz val="10.0"/>
      <color rgb="FFFF0000"/>
      <name val="Calibri"/>
    </font>
    <font>
      <sz val="10.0"/>
      <color rgb="FF0000FF"/>
      <name val="Calibri"/>
    </font>
    <font>
      <u/>
      <sz val="10.0"/>
      <color rgb="FFFF0000"/>
      <name val="Calibri"/>
    </font>
    <font>
      <u/>
      <sz val="10.0"/>
      <color rgb="FF0000FF"/>
      <name val="Calibri"/>
    </font>
    <font>
      <u/>
      <sz val="10.0"/>
      <color rgb="FFFF0000"/>
      <name val="Calibri"/>
    </font>
    <font>
      <u/>
      <sz val="10.0"/>
      <color rgb="FF0000FF"/>
      <name val="Calibri"/>
    </font>
    <font>
      <sz val="10.0"/>
      <color rgb="FF808080"/>
      <name val="Calibri"/>
    </font>
    <font>
      <b/>
      <sz val="16.0"/>
      <color rgb="FFFFFFFF"/>
      <name val="Calibri"/>
    </font>
    <font>
      <b/>
      <sz val="14.0"/>
      <color theme="1"/>
      <name val="Calibri"/>
    </font>
    <font>
      <b/>
      <sz val="11.0"/>
      <color rgb="FF000000"/>
      <name val="Calibri"/>
    </font>
    <font>
      <b/>
      <sz val="14.0"/>
      <color rgb="FFFFFFFF"/>
      <name val="Calibri"/>
    </font>
    <font>
      <sz val="11.0"/>
      <color theme="1"/>
      <name val="Calibri"/>
    </font>
    <font>
      <color theme="1"/>
      <name val="Arial"/>
      <scheme val="minor"/>
    </font>
    <font>
      <b/>
      <sz val="10.0"/>
      <color theme="1"/>
      <name val="Calibri"/>
    </font>
    <font>
      <b/>
      <color theme="1"/>
      <name val="Calibri"/>
    </font>
    <font>
      <b/>
      <sz val="16.0"/>
      <color theme="1"/>
      <name val="Calibri"/>
    </font>
    <font>
      <color rgb="FF000000"/>
      <name val="Calibri"/>
    </font>
    <font>
      <b/>
      <u/>
      <sz val="11.0"/>
      <color rgb="FF0000FF"/>
      <name val="Calibri"/>
    </font>
    <font>
      <b/>
      <u/>
      <sz val="11.0"/>
      <color rgb="FF0000FF"/>
      <name val="Calibri"/>
    </font>
    <font>
      <b/>
      <sz val="12.0"/>
      <color rgb="FF000000"/>
      <name val="Calibri"/>
    </font>
    <font>
      <b/>
      <u/>
      <sz val="11.0"/>
      <color rgb="FF0000FF"/>
      <name val="Calibri"/>
    </font>
    <font>
      <b/>
      <sz val="16.0"/>
      <color rgb="FFFFD966"/>
      <name val="Calibri"/>
    </font>
    <font>
      <b/>
      <sz val="12.0"/>
      <color theme="1"/>
      <name val="Calibri"/>
    </font>
  </fonts>
  <fills count="34">
    <fill>
      <patternFill patternType="none"/>
    </fill>
    <fill>
      <patternFill patternType="lightGray"/>
    </fill>
    <fill>
      <patternFill patternType="solid">
        <fgColor rgb="FFD9EAD3"/>
        <bgColor rgb="FFD9EAD3"/>
      </patternFill>
    </fill>
    <fill>
      <patternFill patternType="solid">
        <fgColor rgb="FF0B5394"/>
        <bgColor rgb="FF0B5394"/>
      </patternFill>
    </fill>
    <fill>
      <patternFill patternType="solid">
        <fgColor rgb="FFB7B7B7"/>
        <bgColor rgb="FFB7B7B7"/>
      </patternFill>
    </fill>
    <fill>
      <patternFill patternType="solid">
        <fgColor rgb="FFCCCCCC"/>
        <bgColor rgb="FFCCCCCC"/>
      </patternFill>
    </fill>
    <fill>
      <patternFill patternType="solid">
        <fgColor rgb="FFFFFFFF"/>
        <bgColor rgb="FFFFFFFF"/>
      </patternFill>
    </fill>
    <fill>
      <patternFill patternType="solid">
        <fgColor rgb="FF9FC5E8"/>
        <bgColor rgb="FF9FC5E8"/>
      </patternFill>
    </fill>
    <fill>
      <patternFill patternType="solid">
        <fgColor rgb="FFC6D9F0"/>
        <bgColor rgb="FFC6D9F0"/>
      </patternFill>
    </fill>
    <fill>
      <patternFill patternType="solid">
        <fgColor rgb="FF6AA84F"/>
        <bgColor rgb="FF6AA84F"/>
      </patternFill>
    </fill>
    <fill>
      <patternFill patternType="solid">
        <fgColor rgb="FFD6E3BC"/>
        <bgColor rgb="FFD6E3BC"/>
      </patternFill>
    </fill>
    <fill>
      <patternFill patternType="solid">
        <fgColor rgb="FFCC0000"/>
        <bgColor rgb="FFCC0000"/>
      </patternFill>
    </fill>
    <fill>
      <patternFill patternType="solid">
        <fgColor rgb="FFFFFF00"/>
        <bgColor rgb="FFFFFF00"/>
      </patternFill>
    </fill>
    <fill>
      <patternFill patternType="solid">
        <fgColor rgb="FF00B0F0"/>
        <bgColor rgb="FF00B0F0"/>
      </patternFill>
    </fill>
    <fill>
      <patternFill patternType="solid">
        <fgColor rgb="FF7B7B7B"/>
        <bgColor rgb="FF7B7B7B"/>
      </patternFill>
    </fill>
    <fill>
      <patternFill patternType="solid">
        <fgColor rgb="FF073763"/>
        <bgColor rgb="FF073763"/>
      </patternFill>
    </fill>
    <fill>
      <patternFill patternType="solid">
        <fgColor rgb="FF3D85C6"/>
        <bgColor rgb="FF3D85C6"/>
      </patternFill>
    </fill>
    <fill>
      <patternFill patternType="solid">
        <fgColor rgb="FFFF9900"/>
        <bgColor rgb="FFFF9900"/>
      </patternFill>
    </fill>
    <fill>
      <patternFill patternType="solid">
        <fgColor rgb="FFD9D2E9"/>
        <bgColor rgb="FFD9D2E9"/>
      </patternFill>
    </fill>
    <fill>
      <patternFill patternType="solid">
        <fgColor rgb="FFC9DAF8"/>
        <bgColor rgb="FFC9DAF8"/>
      </patternFill>
    </fill>
    <fill>
      <patternFill patternType="solid">
        <fgColor rgb="FF8E7CC3"/>
        <bgColor rgb="FF8E7CC3"/>
      </patternFill>
    </fill>
    <fill>
      <patternFill patternType="solid">
        <fgColor rgb="FFB4A7D6"/>
        <bgColor rgb="FFB4A7D6"/>
      </patternFill>
    </fill>
    <fill>
      <patternFill patternType="solid">
        <fgColor rgb="FFD0E0E3"/>
        <bgColor rgb="FFD0E0E3"/>
      </patternFill>
    </fill>
    <fill>
      <patternFill patternType="solid">
        <fgColor rgb="FF93C47D"/>
        <bgColor rgb="FF93C47D"/>
      </patternFill>
    </fill>
    <fill>
      <patternFill patternType="solid">
        <fgColor rgb="FFE06666"/>
        <bgColor rgb="FFE06666"/>
      </patternFill>
    </fill>
    <fill>
      <patternFill patternType="solid">
        <fgColor rgb="FFFFE599"/>
        <bgColor rgb="FFFFE599"/>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6D9EEB"/>
        <bgColor rgb="FF6D9EEB"/>
      </patternFill>
    </fill>
    <fill>
      <patternFill patternType="solid">
        <fgColor rgb="FFFFF2CC"/>
        <bgColor rgb="FFFFF2CC"/>
      </patternFill>
    </fill>
    <fill>
      <patternFill patternType="solid">
        <fgColor rgb="FFF2F2F2"/>
        <bgColor rgb="FFF2F2F2"/>
      </patternFill>
    </fill>
    <fill>
      <patternFill patternType="solid">
        <fgColor rgb="FF38761D"/>
        <bgColor rgb="FF38761D"/>
      </patternFill>
    </fill>
    <fill>
      <patternFill patternType="solid">
        <fgColor rgb="FFF6B26B"/>
        <bgColor rgb="FFF6B26B"/>
      </patternFill>
    </fill>
  </fills>
  <borders count="1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93C47D"/>
      </right>
      <bottom style="medium">
        <color rgb="FF93C47D"/>
      </bottom>
    </border>
    <border>
      <left style="medium">
        <color rgb="FF93C47D"/>
      </left>
      <right style="medium">
        <color rgb="FF93C47D"/>
      </right>
      <bottom style="medium">
        <color rgb="FF93C47D"/>
      </bottom>
    </border>
    <border>
      <left style="medium">
        <color rgb="FF93C47D"/>
      </left>
      <right style="medium">
        <color rgb="FF000000"/>
      </right>
      <bottom style="medium">
        <color rgb="FF93C47D"/>
      </bottom>
    </border>
    <border>
      <left style="medium">
        <color rgb="FF000000"/>
      </left>
      <right style="medium">
        <color rgb="FF93C47D"/>
      </right>
      <top style="medium">
        <color rgb="FF93C47D"/>
      </top>
      <bottom style="medium">
        <color rgb="FF93C47D"/>
      </bottom>
    </border>
    <border>
      <left style="medium">
        <color rgb="FF93C47D"/>
      </left>
      <right style="medium">
        <color rgb="FF93C47D"/>
      </right>
      <top style="medium">
        <color rgb="FF93C47D"/>
      </top>
      <bottom style="medium">
        <color rgb="FF93C47D"/>
      </bottom>
    </border>
    <border>
      <left style="medium">
        <color rgb="FF93C47D"/>
      </left>
      <right style="medium">
        <color rgb="FF000000"/>
      </right>
      <top style="medium">
        <color rgb="FF93C47D"/>
      </top>
      <bottom style="medium">
        <color rgb="FF93C47D"/>
      </bottom>
    </border>
    <border>
      <left style="medium">
        <color rgb="FF93C47D"/>
      </left>
      <right style="medium">
        <color rgb="FF93C47D"/>
      </right>
      <top style="medium">
        <color rgb="FF93C47D"/>
      </top>
    </border>
    <border>
      <left style="medium">
        <color rgb="FF93C47D"/>
      </left>
      <right style="medium">
        <color rgb="FF93C47D"/>
      </right>
    </border>
    <border>
      <left style="medium">
        <color rgb="FF000000"/>
      </left>
      <right style="medium">
        <color rgb="FF93C47D"/>
      </right>
      <top style="medium">
        <color rgb="FF93C47D"/>
      </top>
      <bottom style="medium">
        <color rgb="FF000000"/>
      </bottom>
    </border>
    <border>
      <left style="medium">
        <color rgb="FF93C47D"/>
      </left>
      <right style="medium">
        <color rgb="FF93C47D"/>
      </right>
      <top style="medium">
        <color rgb="FF93C47D"/>
      </top>
      <bottom style="medium">
        <color rgb="FF000000"/>
      </bottom>
    </border>
    <border>
      <left style="medium">
        <color rgb="FF93C47D"/>
      </left>
      <right style="medium">
        <color rgb="FF000000"/>
      </right>
      <top style="medium">
        <color rgb="FF93C47D"/>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1" fillId="3" fontId="3" numFmtId="0" xfId="0" applyAlignment="1" applyBorder="1" applyFill="1" applyFont="1">
      <alignment horizontal="center" readingOrder="0"/>
    </xf>
    <xf borderId="2" fillId="0" fontId="4" numFmtId="0" xfId="0" applyAlignment="1" applyBorder="1" applyFont="1">
      <alignment horizontal="center" readingOrder="0"/>
    </xf>
    <xf borderId="3" fillId="0" fontId="5" numFmtId="0" xfId="0" applyBorder="1" applyFont="1"/>
    <xf borderId="0" fillId="0" fontId="2" numFmtId="0" xfId="0" applyAlignment="1" applyFont="1">
      <alignment horizontal="center"/>
    </xf>
    <xf borderId="2" fillId="0" fontId="1" numFmtId="0" xfId="0" applyAlignment="1" applyBorder="1" applyFont="1">
      <alignment horizontal="center" readingOrder="0"/>
    </xf>
    <xf borderId="2" fillId="0" fontId="1" numFmtId="164" xfId="0" applyAlignment="1" applyBorder="1" applyFont="1" applyNumberFormat="1">
      <alignment horizontal="center" readingOrder="0"/>
    </xf>
    <xf borderId="1" fillId="0" fontId="6" numFmtId="0" xfId="0" applyAlignment="1" applyBorder="1" applyFont="1">
      <alignment horizontal="center" readingOrder="0" shrinkToFit="0" wrapText="0"/>
    </xf>
    <xf borderId="1" fillId="0" fontId="6" numFmtId="0" xfId="0" applyAlignment="1" applyBorder="1" applyFont="1">
      <alignment horizontal="center" shrinkToFit="0" wrapText="0"/>
    </xf>
    <xf borderId="1" fillId="0" fontId="6" numFmtId="0" xfId="0" applyAlignment="1" applyBorder="1" applyFont="1">
      <alignment horizontal="left" readingOrder="0"/>
    </xf>
    <xf borderId="1" fillId="4" fontId="6" numFmtId="0" xfId="0" applyAlignment="1" applyBorder="1" applyFill="1" applyFont="1">
      <alignment horizontal="center" shrinkToFit="0" wrapText="0"/>
    </xf>
    <xf borderId="1" fillId="4" fontId="6" numFmtId="0" xfId="0" applyAlignment="1" applyBorder="1" applyFont="1">
      <alignment horizontal="center" shrinkToFit="0" wrapText="0"/>
    </xf>
    <xf borderId="1" fillId="4" fontId="6" numFmtId="0" xfId="0" applyAlignment="1" applyBorder="1" applyFont="1">
      <alignment horizontal="left"/>
    </xf>
    <xf borderId="1" fillId="5" fontId="6" numFmtId="0" xfId="0" applyAlignment="1" applyBorder="1" applyFill="1" applyFont="1">
      <alignment horizontal="center" shrinkToFit="0" wrapText="0"/>
    </xf>
    <xf borderId="1" fillId="5" fontId="6" numFmtId="0" xfId="0" applyAlignment="1" applyBorder="1" applyFont="1">
      <alignment horizontal="left"/>
    </xf>
    <xf borderId="1" fillId="6" fontId="6" numFmtId="0" xfId="0" applyAlignment="1" applyBorder="1" applyFill="1" applyFont="1">
      <alignment horizontal="center" readingOrder="0" shrinkToFit="0" vertical="bottom" wrapText="0"/>
    </xf>
    <xf borderId="0" fillId="0" fontId="7" numFmtId="0" xfId="0" applyAlignment="1" applyFont="1">
      <alignment horizontal="center" readingOrder="0" shrinkToFit="0" textRotation="0" vertical="center" wrapText="0"/>
    </xf>
    <xf borderId="0" fillId="0" fontId="7" numFmtId="0" xfId="0" applyAlignment="1" applyFont="1">
      <alignment horizontal="center" readingOrder="0" shrinkToFit="0" textRotation="0" vertical="top" wrapText="0"/>
    </xf>
    <xf borderId="0" fillId="0" fontId="8" numFmtId="0" xfId="0" applyAlignment="1" applyFont="1">
      <alignment horizontal="center" readingOrder="0" shrinkToFit="0" textRotation="0" vertical="top" wrapText="1"/>
    </xf>
    <xf borderId="0" fillId="0" fontId="9" numFmtId="0" xfId="0" applyAlignment="1" applyFont="1">
      <alignment horizontal="left" readingOrder="0" shrinkToFit="0" textRotation="0" vertical="top" wrapText="1"/>
    </xf>
    <xf borderId="0" fillId="0" fontId="7" numFmtId="0" xfId="0" applyAlignment="1" applyFont="1">
      <alignment horizontal="left" readingOrder="0" shrinkToFit="0" textRotation="0" vertical="top" wrapText="1"/>
    </xf>
    <xf borderId="0" fillId="0" fontId="9" numFmtId="0" xfId="0" applyAlignment="1" applyFont="1">
      <alignment horizontal="left" readingOrder="0" shrinkToFit="0" textRotation="0" vertical="top" wrapText="0"/>
    </xf>
    <xf borderId="0" fillId="0" fontId="9" numFmtId="0" xfId="0" applyAlignment="1" applyFont="1">
      <alignment horizontal="left" shrinkToFit="0" textRotation="0" vertical="top" wrapText="0"/>
    </xf>
    <xf borderId="0" fillId="0" fontId="9" numFmtId="0" xfId="0" applyAlignment="1" applyFont="1">
      <alignment horizontal="left" shrinkToFit="0" textRotation="0" vertical="top" wrapText="0"/>
    </xf>
    <xf borderId="0" fillId="0" fontId="10" numFmtId="0" xfId="0" applyAlignment="1" applyFont="1">
      <alignment horizontal="left" shrinkToFit="0" textRotation="0" vertical="top" wrapText="0"/>
    </xf>
    <xf borderId="0" fillId="0" fontId="7" numFmtId="0" xfId="0" applyAlignment="1" applyFont="1">
      <alignment horizontal="left" readingOrder="0" shrinkToFit="0" textRotation="0" vertical="top" wrapText="0"/>
    </xf>
    <xf borderId="0" fillId="0" fontId="8" numFmtId="0" xfId="0" applyAlignment="1" applyFont="1">
      <alignment horizontal="left" shrinkToFit="0" textRotation="0" vertical="top" wrapText="0"/>
    </xf>
    <xf borderId="0" fillId="0" fontId="11" numFmtId="0" xfId="0" applyAlignment="1" applyFont="1">
      <alignment horizontal="left" shrinkToFit="0" textRotation="0" vertical="top" wrapText="0"/>
    </xf>
    <xf borderId="2" fillId="7" fontId="7" numFmtId="0" xfId="0" applyAlignment="1" applyBorder="1" applyFill="1" applyFont="1">
      <alignment horizontal="center" readingOrder="0" shrinkToFit="0" textRotation="0" vertical="center" wrapText="0"/>
    </xf>
    <xf borderId="1" fillId="0" fontId="12" numFmtId="0" xfId="0" applyAlignment="1" applyBorder="1" applyFont="1">
      <alignment horizontal="center" readingOrder="0" shrinkToFit="0" textRotation="0" vertical="center" wrapText="1"/>
    </xf>
    <xf borderId="1" fillId="7" fontId="7" numFmtId="0" xfId="0" applyAlignment="1" applyBorder="1" applyFont="1">
      <alignment horizontal="center" readingOrder="0" shrinkToFit="0" textRotation="0" vertical="center" wrapText="0"/>
    </xf>
    <xf borderId="1" fillId="0" fontId="9" numFmtId="0" xfId="0" applyAlignment="1" applyBorder="1" applyFont="1">
      <alignment horizontal="center" readingOrder="0" shrinkToFit="0" textRotation="0" vertical="center" wrapText="1"/>
    </xf>
    <xf borderId="1" fillId="7" fontId="7" numFmtId="0" xfId="0" applyAlignment="1" applyBorder="1" applyFont="1">
      <alignment horizontal="center" readingOrder="0" shrinkToFit="0" textRotation="0" vertical="center" wrapText="1"/>
    </xf>
    <xf borderId="1" fillId="0" fontId="9" numFmtId="0" xfId="0" applyAlignment="1" applyBorder="1" applyFont="1">
      <alignment horizontal="center" readingOrder="0" shrinkToFit="0" textRotation="0" vertical="center" wrapText="0"/>
    </xf>
    <xf borderId="2" fillId="8" fontId="7" numFmtId="0" xfId="0" applyAlignment="1" applyBorder="1" applyFill="1" applyFont="1">
      <alignment horizontal="center" readingOrder="0" shrinkToFit="0" textRotation="0" vertical="center" wrapText="0"/>
    </xf>
    <xf borderId="1" fillId="0" fontId="9" numFmtId="164" xfId="0" applyAlignment="1" applyBorder="1" applyFont="1" applyNumberFormat="1">
      <alignment horizontal="center" readingOrder="0" shrinkToFit="0" textRotation="0" vertical="center" wrapText="1"/>
    </xf>
    <xf borderId="1" fillId="9" fontId="7" numFmtId="0" xfId="0" applyAlignment="1" applyBorder="1" applyFill="1" applyFont="1">
      <alignment horizontal="center" readingOrder="0" shrinkToFit="0" textRotation="0" vertical="center" wrapText="0"/>
    </xf>
    <xf borderId="1" fillId="10" fontId="7" numFmtId="0" xfId="0" applyAlignment="1" applyBorder="1" applyFill="1" applyFont="1">
      <alignment horizontal="center" readingOrder="0" shrinkToFit="0" textRotation="0" vertical="center" wrapText="0"/>
    </xf>
    <xf borderId="1" fillId="0" fontId="9" numFmtId="0" xfId="0" applyAlignment="1" applyBorder="1" applyFont="1">
      <alignment horizontal="center" shrinkToFit="0" textRotation="0" vertical="center" wrapText="1"/>
    </xf>
    <xf borderId="1" fillId="0" fontId="7" numFmtId="0" xfId="0" applyAlignment="1" applyBorder="1" applyFont="1">
      <alignment horizontal="center" readingOrder="0" shrinkToFit="0" textRotation="0" vertical="center" wrapText="1"/>
    </xf>
    <xf borderId="1" fillId="11" fontId="13" numFmtId="0" xfId="0" applyAlignment="1" applyBorder="1" applyFill="1" applyFont="1">
      <alignment horizontal="center" readingOrder="0" shrinkToFit="0" textRotation="0" vertical="center" wrapText="0"/>
    </xf>
    <xf borderId="1" fillId="12" fontId="7" numFmtId="0" xfId="0" applyAlignment="1" applyBorder="1" applyFill="1" applyFont="1">
      <alignment horizontal="center" readingOrder="0" shrinkToFit="0" textRotation="0" vertical="center" wrapText="0"/>
    </xf>
    <xf borderId="2" fillId="5" fontId="7" numFmtId="0" xfId="0" applyAlignment="1" applyBorder="1" applyFont="1">
      <alignment horizontal="center" readingOrder="0" shrinkToFit="0" textRotation="0" vertical="center" wrapText="0"/>
    </xf>
    <xf borderId="2" fillId="5" fontId="9" numFmtId="0" xfId="0" applyAlignment="1" applyBorder="1" applyFont="1">
      <alignment horizontal="center" shrinkToFit="0" textRotation="0" vertical="center" wrapText="1"/>
    </xf>
    <xf borderId="4" fillId="0" fontId="5" numFmtId="0" xfId="0" applyBorder="1" applyFont="1"/>
    <xf borderId="1" fillId="13" fontId="7" numFmtId="0" xfId="0" applyAlignment="1" applyBorder="1" applyFill="1" applyFont="1">
      <alignment horizontal="center" readingOrder="0" shrinkToFit="0" textRotation="0" vertical="center" wrapText="0"/>
    </xf>
    <xf borderId="1" fillId="14" fontId="7" numFmtId="0" xfId="0" applyAlignment="1" applyBorder="1" applyFill="1" applyFont="1">
      <alignment horizontal="center" readingOrder="0" shrinkToFit="0" textRotation="0" vertical="center" wrapText="0"/>
    </xf>
    <xf borderId="0" fillId="0" fontId="9" numFmtId="0" xfId="0" applyAlignment="1" applyFont="1">
      <alignment horizontal="center" shrinkToFit="0" textRotation="0" vertical="center" wrapText="0"/>
    </xf>
    <xf borderId="0" fillId="0" fontId="9" numFmtId="0" xfId="0" applyAlignment="1" applyFont="1">
      <alignment horizontal="center" shrinkToFit="0" textRotation="0" vertical="top" wrapText="0"/>
    </xf>
    <xf borderId="0" fillId="0" fontId="9" numFmtId="0" xfId="0" applyAlignment="1" applyFont="1">
      <alignment horizontal="center" shrinkToFit="0" textRotation="0" vertical="top" wrapText="1"/>
    </xf>
    <xf borderId="0" fillId="0" fontId="9" numFmtId="0" xfId="0" applyAlignment="1" applyFont="1">
      <alignment horizontal="left" shrinkToFit="0" textRotation="0" vertical="top" wrapText="1"/>
    </xf>
    <xf borderId="1" fillId="8" fontId="7" numFmtId="0" xfId="0" applyAlignment="1" applyBorder="1" applyFont="1">
      <alignment horizontal="center" readingOrder="0" shrinkToFit="0" textRotation="0" vertical="center" wrapText="0"/>
    </xf>
    <xf borderId="1" fillId="15" fontId="9" numFmtId="0" xfId="0" applyAlignment="1" applyBorder="1" applyFill="1" applyFont="1">
      <alignment horizontal="center" shrinkToFit="0" textRotation="0" vertical="center" wrapText="1"/>
    </xf>
    <xf borderId="1" fillId="15" fontId="13" numFmtId="0" xfId="0" applyAlignment="1" applyBorder="1" applyFont="1">
      <alignment horizontal="center" readingOrder="0" shrinkToFit="0" textRotation="0" vertical="center" wrapText="1"/>
    </xf>
    <xf borderId="1" fillId="15" fontId="13" numFmtId="0" xfId="0" applyAlignment="1" applyBorder="1" applyFont="1">
      <alignment horizontal="left" readingOrder="0" shrinkToFit="0" textRotation="0" vertical="center" wrapText="0"/>
    </xf>
    <xf borderId="0" fillId="0" fontId="8" numFmtId="0" xfId="0" applyAlignment="1" applyFont="1">
      <alignment horizontal="center" shrinkToFit="0" textRotation="0" vertical="center" wrapText="1"/>
    </xf>
    <xf borderId="0" fillId="0" fontId="11" numFmtId="0" xfId="0" applyAlignment="1" applyFont="1">
      <alignment horizontal="center" shrinkToFit="0" textRotation="0" vertical="center" wrapText="1"/>
    </xf>
    <xf borderId="5" fillId="6" fontId="9" numFmtId="0" xfId="0" applyAlignment="1" applyBorder="1" applyFont="1">
      <alignment horizontal="center" readingOrder="0" shrinkToFit="0" textRotation="0" vertical="center" wrapText="0"/>
    </xf>
    <xf borderId="6" fillId="6" fontId="9" numFmtId="0" xfId="0" applyAlignment="1" applyBorder="1" applyFont="1">
      <alignment horizontal="center" readingOrder="0" shrinkToFit="0" textRotation="0" vertical="center" wrapText="0"/>
    </xf>
    <xf borderId="6" fillId="6" fontId="7" numFmtId="0" xfId="0" applyAlignment="1" applyBorder="1" applyFont="1">
      <alignment horizontal="center" readingOrder="0" shrinkToFit="0" textRotation="0" vertical="center" wrapText="1"/>
    </xf>
    <xf borderId="6" fillId="6" fontId="7" numFmtId="0" xfId="0" applyAlignment="1" applyBorder="1" applyFont="1">
      <alignment horizontal="center" readingOrder="0" shrinkToFit="0" textRotation="0" vertical="center" wrapText="0"/>
    </xf>
    <xf borderId="6" fillId="6" fontId="9" numFmtId="0" xfId="0" applyAlignment="1" applyBorder="1" applyFont="1">
      <alignment horizontal="left" readingOrder="0" shrinkToFit="0" textRotation="0" vertical="center" wrapText="1"/>
    </xf>
    <xf borderId="6" fillId="6" fontId="9" numFmtId="0" xfId="0" applyAlignment="1" applyBorder="1" applyFont="1">
      <alignment horizontal="left" readingOrder="0" shrinkToFit="0" textRotation="0" vertical="center" wrapText="0"/>
    </xf>
    <xf borderId="6" fillId="6" fontId="9" numFmtId="0" xfId="0" applyAlignment="1" applyBorder="1" applyFont="1">
      <alignment horizontal="left" readingOrder="0" shrinkToFit="0" textRotation="0" vertical="center" wrapText="0"/>
    </xf>
    <xf borderId="6" fillId="6" fontId="14" numFmtId="0" xfId="0" applyAlignment="1" applyBorder="1" applyFont="1">
      <alignment horizontal="left" shrinkToFit="0" textRotation="0" vertical="center" wrapText="0"/>
    </xf>
    <xf borderId="6" fillId="6" fontId="7" numFmtId="0" xfId="0" applyAlignment="1" applyBorder="1" applyFont="1">
      <alignment horizontal="left" shrinkToFit="0" textRotation="0" vertical="center" wrapText="0"/>
    </xf>
    <xf borderId="6" fillId="0" fontId="9" numFmtId="0" xfId="0" applyAlignment="1" applyBorder="1" applyFont="1">
      <alignment horizontal="center" readingOrder="0" shrinkToFit="0" textRotation="0" vertical="center" wrapText="0"/>
    </xf>
    <xf borderId="7" fillId="6" fontId="7" numFmtId="0" xfId="0" applyAlignment="1" applyBorder="1" applyFont="1">
      <alignment horizontal="left" shrinkToFit="0" textRotation="0" vertical="center" wrapText="0"/>
    </xf>
    <xf borderId="8" fillId="5" fontId="9" numFmtId="0" xfId="0" applyAlignment="1" applyBorder="1" applyFont="1">
      <alignment horizontal="center" shrinkToFit="0" textRotation="0" vertical="center" wrapText="0"/>
    </xf>
    <xf borderId="9" fillId="5" fontId="9" numFmtId="0" xfId="0" applyAlignment="1" applyBorder="1" applyFont="1">
      <alignment horizontal="center" shrinkToFit="0" textRotation="0" vertical="center" wrapText="0"/>
    </xf>
    <xf borderId="9" fillId="5" fontId="9" numFmtId="0" xfId="0" applyAlignment="1" applyBorder="1" applyFont="1">
      <alignment horizontal="center" shrinkToFit="0" textRotation="0" vertical="center" wrapText="1"/>
    </xf>
    <xf borderId="9" fillId="5" fontId="7" numFmtId="0" xfId="0" applyAlignment="1" applyBorder="1" applyFont="1">
      <alignment horizontal="center" shrinkToFit="0" textRotation="0" vertical="center" wrapText="0"/>
    </xf>
    <xf borderId="9" fillId="5" fontId="7" numFmtId="0" xfId="0" applyAlignment="1" applyBorder="1" applyFont="1">
      <alignment horizontal="left" shrinkToFit="0" textRotation="0" vertical="center" wrapText="1"/>
    </xf>
    <xf borderId="9" fillId="5" fontId="7" numFmtId="0" xfId="0" applyAlignment="1" applyBorder="1" applyFont="1">
      <alignment horizontal="left" shrinkToFit="0" textRotation="0" vertical="center" wrapText="0"/>
    </xf>
    <xf borderId="9" fillId="5" fontId="7" numFmtId="0" xfId="0" applyAlignment="1" applyBorder="1" applyFont="1">
      <alignment horizontal="left" shrinkToFit="0" textRotation="0" vertical="center" wrapText="0"/>
    </xf>
    <xf borderId="9" fillId="5" fontId="14" numFmtId="0" xfId="0" applyAlignment="1" applyBorder="1" applyFont="1">
      <alignment horizontal="left" shrinkToFit="0" textRotation="0" vertical="center" wrapText="0"/>
    </xf>
    <xf borderId="10" fillId="5" fontId="7" numFmtId="0" xfId="0" applyAlignment="1" applyBorder="1" applyFont="1">
      <alignment horizontal="left" shrinkToFit="0" textRotation="0" vertical="center" wrapText="0"/>
    </xf>
    <xf borderId="8" fillId="6" fontId="9" numFmtId="0" xfId="0" applyAlignment="1" applyBorder="1" applyFont="1">
      <alignment horizontal="center" readingOrder="0" shrinkToFit="0" textRotation="0" vertical="center" wrapText="0"/>
    </xf>
    <xf borderId="9" fillId="6" fontId="9" numFmtId="0" xfId="0" applyAlignment="1" applyBorder="1" applyFont="1">
      <alignment horizontal="center" shrinkToFit="0" textRotation="0" vertical="center" wrapText="0"/>
    </xf>
    <xf borderId="9" fillId="6" fontId="9" numFmtId="0" xfId="0" applyAlignment="1" applyBorder="1" applyFont="1">
      <alignment horizontal="center" shrinkToFit="0" textRotation="0" vertical="center" wrapText="1"/>
    </xf>
    <xf borderId="9" fillId="0" fontId="7" numFmtId="0" xfId="0" applyAlignment="1" applyBorder="1" applyFont="1">
      <alignment horizontal="center" readingOrder="0" shrinkToFit="0" textRotation="0" vertical="center" wrapText="0"/>
    </xf>
    <xf borderId="9" fillId="6" fontId="9" numFmtId="0" xfId="0" applyAlignment="1" applyBorder="1" applyFont="1">
      <alignment horizontal="left" readingOrder="0" shrinkToFit="0" textRotation="0" vertical="center" wrapText="1"/>
    </xf>
    <xf borderId="9" fillId="6" fontId="9" numFmtId="0" xfId="0" applyAlignment="1" applyBorder="1" applyFont="1">
      <alignment horizontal="left" readingOrder="0" shrinkToFit="0" textRotation="0" vertical="center" wrapText="0"/>
    </xf>
    <xf borderId="9" fillId="6" fontId="9" numFmtId="0" xfId="0" applyAlignment="1" applyBorder="1" applyFont="1">
      <alignment horizontal="left" readingOrder="0" shrinkToFit="0" textRotation="0" vertical="center" wrapText="0"/>
    </xf>
    <xf borderId="9" fillId="6" fontId="14" numFmtId="0" xfId="0" applyAlignment="1" applyBorder="1" applyFont="1">
      <alignment horizontal="left" shrinkToFit="0" textRotation="0" vertical="center" wrapText="0"/>
    </xf>
    <xf borderId="9" fillId="6" fontId="13" numFmtId="0" xfId="0" applyAlignment="1" applyBorder="1" applyFont="1">
      <alignment horizontal="left" shrinkToFit="0" textRotation="0" vertical="center" wrapText="0"/>
    </xf>
    <xf borderId="9" fillId="0" fontId="9" numFmtId="0" xfId="0" applyAlignment="1" applyBorder="1" applyFont="1">
      <alignment horizontal="center" readingOrder="0" shrinkToFit="0" textRotation="0" vertical="center" wrapText="0"/>
    </xf>
    <xf borderId="10" fillId="6" fontId="13" numFmtId="0" xfId="0" applyAlignment="1" applyBorder="1" applyFont="1">
      <alignment horizontal="left" shrinkToFit="0" textRotation="0" vertical="center" wrapText="0"/>
    </xf>
    <xf borderId="9" fillId="0" fontId="7" numFmtId="0" xfId="0" applyAlignment="1" applyBorder="1" applyFont="1">
      <alignment horizontal="center" shrinkToFit="0" textRotation="0" vertical="center" wrapText="0"/>
    </xf>
    <xf borderId="9" fillId="0" fontId="9" numFmtId="0" xfId="0" applyAlignment="1" applyBorder="1" applyFont="1">
      <alignment horizontal="left" readingOrder="0" shrinkToFit="0" textRotation="0" vertical="center" wrapText="1"/>
    </xf>
    <xf borderId="9" fillId="6" fontId="10" numFmtId="0" xfId="0" applyAlignment="1" applyBorder="1" applyFont="1">
      <alignment horizontal="left" shrinkToFit="0" textRotation="0" vertical="center" wrapText="0"/>
    </xf>
    <xf borderId="9" fillId="6" fontId="15" numFmtId="0" xfId="0" applyAlignment="1" applyBorder="1" applyFont="1">
      <alignment horizontal="left" shrinkToFit="0" textRotation="0" vertical="center" wrapText="0"/>
    </xf>
    <xf borderId="9" fillId="0" fontId="9" numFmtId="0" xfId="0" applyAlignment="1" applyBorder="1" applyFont="1">
      <alignment horizontal="center" shrinkToFit="0" textRotation="0" vertical="center" wrapText="0"/>
    </xf>
    <xf borderId="10" fillId="6" fontId="15" numFmtId="0" xfId="0" applyAlignment="1" applyBorder="1" applyFont="1">
      <alignment horizontal="left" shrinkToFit="0" textRotation="0" vertical="center" wrapText="0"/>
    </xf>
    <xf borderId="9" fillId="6" fontId="16" numFmtId="0" xfId="0" applyAlignment="1" applyBorder="1" applyFont="1">
      <alignment horizontal="left" shrinkToFit="0" textRotation="0" vertical="center" wrapText="0"/>
    </xf>
    <xf borderId="11" fillId="0" fontId="9" numFmtId="0" xfId="0" applyAlignment="1" applyBorder="1" applyFont="1">
      <alignment horizontal="center" shrinkToFit="0" textRotation="0" vertical="center" wrapText="0"/>
    </xf>
    <xf borderId="12" fillId="0" fontId="5" numFmtId="0" xfId="0" applyBorder="1" applyFont="1"/>
    <xf borderId="6" fillId="0" fontId="5" numFmtId="0" xfId="0" applyBorder="1" applyFont="1"/>
    <xf borderId="9" fillId="6" fontId="7" numFmtId="0" xfId="0" applyAlignment="1" applyBorder="1" applyFont="1">
      <alignment horizontal="center" shrinkToFit="0" textRotation="0" vertical="center" wrapText="0"/>
    </xf>
    <xf borderId="9" fillId="0" fontId="9" numFmtId="0" xfId="0" applyAlignment="1" applyBorder="1" applyFont="1">
      <alignment horizontal="left" readingOrder="0" shrinkToFit="0" textRotation="0" vertical="center" wrapText="0"/>
    </xf>
    <xf borderId="9" fillId="0" fontId="9" numFmtId="0" xfId="0" applyAlignment="1" applyBorder="1" applyFont="1">
      <alignment horizontal="left" readingOrder="0" shrinkToFit="0" textRotation="0" vertical="center" wrapText="0"/>
    </xf>
    <xf borderId="9" fillId="0" fontId="10" numFmtId="0" xfId="0" applyAlignment="1" applyBorder="1" applyFont="1">
      <alignment horizontal="left" shrinkToFit="0" textRotation="0" vertical="center" wrapText="0"/>
    </xf>
    <xf borderId="9" fillId="0" fontId="17" numFmtId="0" xfId="0" applyAlignment="1" applyBorder="1" applyFont="1">
      <alignment horizontal="left" shrinkToFit="0" textRotation="0" vertical="center" wrapText="0"/>
    </xf>
    <xf borderId="10" fillId="0" fontId="9" numFmtId="0" xfId="0" applyAlignment="1" applyBorder="1" applyFont="1">
      <alignment horizontal="left" shrinkToFit="0" textRotation="0" vertical="center" wrapText="0"/>
    </xf>
    <xf borderId="9" fillId="0" fontId="18" numFmtId="0" xfId="0" applyAlignment="1" applyBorder="1" applyFont="1">
      <alignment horizontal="left" shrinkToFit="0" textRotation="0" vertical="center" wrapText="0"/>
    </xf>
    <xf borderId="9" fillId="0" fontId="19" numFmtId="0" xfId="0" applyAlignment="1" applyBorder="1" applyFont="1">
      <alignment horizontal="left" readingOrder="0" shrinkToFit="0" textRotation="0" vertical="center" wrapText="0"/>
    </xf>
    <xf borderId="9" fillId="5" fontId="9" numFmtId="0" xfId="0" applyAlignment="1" applyBorder="1" applyFont="1">
      <alignment horizontal="left" shrinkToFit="0" textRotation="0" vertical="center" wrapText="1"/>
    </xf>
    <xf borderId="9" fillId="5" fontId="9" numFmtId="0" xfId="0" applyAlignment="1" applyBorder="1" applyFont="1">
      <alignment horizontal="left" shrinkToFit="0" textRotation="0" vertical="center" wrapText="0"/>
    </xf>
    <xf borderId="9" fillId="5" fontId="9" numFmtId="0" xfId="0" applyAlignment="1" applyBorder="1" applyFont="1">
      <alignment horizontal="left" shrinkToFit="0" textRotation="0" vertical="center" wrapText="0"/>
    </xf>
    <xf borderId="9" fillId="5" fontId="20" numFmtId="0" xfId="0" applyAlignment="1" applyBorder="1" applyFont="1">
      <alignment horizontal="left" shrinkToFit="0" textRotation="0" vertical="center" wrapText="0"/>
    </xf>
    <xf borderId="9" fillId="5" fontId="17" numFmtId="0" xfId="0" applyAlignment="1" applyBorder="1" applyFont="1">
      <alignment horizontal="left" shrinkToFit="0" textRotation="0" vertical="center" wrapText="0"/>
    </xf>
    <xf borderId="10" fillId="5" fontId="9" numFmtId="0" xfId="0" applyAlignment="1" applyBorder="1" applyFont="1">
      <alignment horizontal="left" shrinkToFit="0" textRotation="0" vertical="center" wrapText="0"/>
    </xf>
    <xf borderId="9" fillId="0" fontId="9" numFmtId="0" xfId="0" applyAlignment="1" applyBorder="1" applyFont="1">
      <alignment horizontal="left" readingOrder="0" shrinkToFit="0" textRotation="0" vertical="center" wrapText="0"/>
    </xf>
    <xf borderId="9" fillId="0" fontId="9" numFmtId="0" xfId="0" applyAlignment="1" applyBorder="1" applyFont="1">
      <alignment horizontal="left" shrinkToFit="0" textRotation="0" vertical="center" wrapText="0"/>
    </xf>
    <xf borderId="9" fillId="0" fontId="9" numFmtId="0" xfId="0" applyAlignment="1" applyBorder="1" applyFont="1">
      <alignment horizontal="left" shrinkToFit="0" textRotation="0" vertical="center" wrapText="0"/>
    </xf>
    <xf borderId="9" fillId="0" fontId="21" numFmtId="0" xfId="0" applyAlignment="1" applyBorder="1" applyFont="1">
      <alignment horizontal="left" shrinkToFit="0" textRotation="0" vertical="center" wrapText="0"/>
    </xf>
    <xf borderId="8" fillId="0" fontId="9" numFmtId="0" xfId="0" applyAlignment="1" applyBorder="1" applyFont="1">
      <alignment horizontal="center" readingOrder="0" shrinkToFit="0" textRotation="0" vertical="center" wrapText="0"/>
    </xf>
    <xf borderId="8" fillId="4" fontId="9" numFmtId="0" xfId="0" applyAlignment="1" applyBorder="1" applyFont="1">
      <alignment horizontal="center" shrinkToFit="0" textRotation="0" vertical="center" wrapText="0"/>
    </xf>
    <xf borderId="9" fillId="4" fontId="9" numFmtId="0" xfId="0" applyAlignment="1" applyBorder="1" applyFont="1">
      <alignment horizontal="center" shrinkToFit="0" textRotation="0" vertical="center" wrapText="0"/>
    </xf>
    <xf borderId="9" fillId="4" fontId="9" numFmtId="0" xfId="0" applyAlignment="1" applyBorder="1" applyFont="1">
      <alignment horizontal="center" shrinkToFit="0" textRotation="0" vertical="center" wrapText="1"/>
    </xf>
    <xf borderId="9" fillId="4" fontId="9" numFmtId="0" xfId="0" applyAlignment="1" applyBorder="1" applyFont="1">
      <alignment horizontal="left" shrinkToFit="0" textRotation="0" vertical="center" wrapText="1"/>
    </xf>
    <xf borderId="9" fillId="4" fontId="9" numFmtId="0" xfId="0" applyAlignment="1" applyBorder="1" applyFont="1">
      <alignment horizontal="left" shrinkToFit="0" textRotation="0" vertical="center" wrapText="0"/>
    </xf>
    <xf borderId="9" fillId="4" fontId="9" numFmtId="0" xfId="0" applyAlignment="1" applyBorder="1" applyFont="1">
      <alignment horizontal="left" shrinkToFit="0" textRotation="0" vertical="center" wrapText="0"/>
    </xf>
    <xf borderId="9" fillId="4" fontId="10" numFmtId="0" xfId="0" applyAlignment="1" applyBorder="1" applyFont="1">
      <alignment horizontal="left" shrinkToFit="0" textRotation="0" vertical="center" wrapText="0"/>
    </xf>
    <xf borderId="10" fillId="4" fontId="9" numFmtId="0" xfId="0" applyAlignment="1" applyBorder="1" applyFont="1">
      <alignment horizontal="left" shrinkToFit="0" textRotation="0" vertical="center" wrapText="0"/>
    </xf>
    <xf borderId="9" fillId="5" fontId="22" numFmtId="0" xfId="0" applyAlignment="1" applyBorder="1" applyFont="1">
      <alignment horizontal="center" shrinkToFit="0" textRotation="0" vertical="center" wrapText="0"/>
    </xf>
    <xf borderId="9" fillId="5" fontId="22" numFmtId="0" xfId="0" applyAlignment="1" applyBorder="1" applyFont="1">
      <alignment horizontal="left" shrinkToFit="0" textRotation="0" vertical="center" wrapText="1"/>
    </xf>
    <xf borderId="9" fillId="5" fontId="22" numFmtId="0" xfId="0" applyAlignment="1" applyBorder="1" applyFont="1">
      <alignment horizontal="left" shrinkToFit="0" textRotation="0" vertical="center" wrapText="0"/>
    </xf>
    <xf borderId="9" fillId="5" fontId="22" numFmtId="0" xfId="0" applyAlignment="1" applyBorder="1" applyFont="1">
      <alignment horizontal="left" shrinkToFit="0" textRotation="0" vertical="center" wrapText="0"/>
    </xf>
    <xf borderId="9" fillId="5" fontId="10" numFmtId="0" xfId="0" applyAlignment="1" applyBorder="1" applyFont="1">
      <alignment horizontal="left" shrinkToFit="0" textRotation="0" vertical="center" wrapText="0"/>
    </xf>
    <xf borderId="10" fillId="5" fontId="22" numFmtId="0" xfId="0" applyAlignment="1" applyBorder="1" applyFont="1">
      <alignment horizontal="left" shrinkToFit="0" textRotation="0" vertical="center" wrapText="0"/>
    </xf>
    <xf quotePrefix="1" borderId="9" fillId="0" fontId="9" numFmtId="0" xfId="0" applyAlignment="1" applyBorder="1" applyFont="1">
      <alignment horizontal="left" readingOrder="0" shrinkToFit="0" textRotation="0" vertical="center" wrapText="1"/>
    </xf>
    <xf borderId="9" fillId="0" fontId="9" numFmtId="0" xfId="0" applyAlignment="1" applyBorder="1" applyFont="1">
      <alignment horizontal="left" shrinkToFit="0" textRotation="0" vertical="center" wrapText="1"/>
    </xf>
    <xf borderId="13" fillId="5" fontId="9" numFmtId="0" xfId="0" applyAlignment="1" applyBorder="1" applyFont="1">
      <alignment horizontal="center" readingOrder="0" shrinkToFit="0" textRotation="0" vertical="center" wrapText="0"/>
    </xf>
    <xf borderId="14" fillId="5" fontId="9" numFmtId="0" xfId="0" applyAlignment="1" applyBorder="1" applyFont="1">
      <alignment horizontal="center" shrinkToFit="0" textRotation="0" vertical="center" wrapText="0"/>
    </xf>
    <xf borderId="14" fillId="5" fontId="9" numFmtId="0" xfId="0" applyAlignment="1" applyBorder="1" applyFont="1">
      <alignment horizontal="center" shrinkToFit="0" textRotation="0" vertical="center" wrapText="1"/>
    </xf>
    <xf borderId="14" fillId="5" fontId="7" numFmtId="0" xfId="0" applyAlignment="1" applyBorder="1" applyFont="1">
      <alignment horizontal="center" shrinkToFit="0" textRotation="0" vertical="center" wrapText="0"/>
    </xf>
    <xf borderId="14" fillId="5" fontId="9" numFmtId="0" xfId="0" applyAlignment="1" applyBorder="1" applyFont="1">
      <alignment horizontal="left" shrinkToFit="0" textRotation="0" vertical="center" wrapText="1"/>
    </xf>
    <xf borderId="14" fillId="5" fontId="9" numFmtId="0" xfId="0" applyAlignment="1" applyBorder="1" applyFont="1">
      <alignment horizontal="left" shrinkToFit="0" textRotation="0" vertical="center" wrapText="0"/>
    </xf>
    <xf borderId="14" fillId="5" fontId="9" numFmtId="0" xfId="0" applyAlignment="1" applyBorder="1" applyFont="1">
      <alignment horizontal="left" shrinkToFit="0" textRotation="0" vertical="center" wrapText="0"/>
    </xf>
    <xf borderId="14" fillId="5" fontId="10" numFmtId="0" xfId="0" applyAlignment="1" applyBorder="1" applyFont="1">
      <alignment horizontal="left" shrinkToFit="0" textRotation="0" vertical="center" wrapText="0"/>
    </xf>
    <xf borderId="15" fillId="5" fontId="9" numFmtId="0" xfId="0" applyAlignment="1" applyBorder="1" applyFont="1">
      <alignment horizontal="left" shrinkToFit="0" textRotation="0" vertical="center" wrapText="0"/>
    </xf>
    <xf borderId="0" fillId="0" fontId="11" numFmtId="0" xfId="0" applyAlignment="1" applyFont="1">
      <alignment horizontal="center" shrinkToFit="0" textRotation="0" vertical="center" wrapText="0"/>
    </xf>
    <xf borderId="0" fillId="0" fontId="11" numFmtId="0" xfId="0" applyAlignment="1" applyFont="1">
      <alignment horizontal="left" shrinkToFit="0" textRotation="0" vertical="center" wrapText="1"/>
    </xf>
    <xf borderId="0" fillId="0" fontId="11" numFmtId="0" xfId="0" applyAlignment="1" applyFont="1">
      <alignment horizontal="left" shrinkToFit="0" textRotation="0" vertical="center" wrapText="0"/>
    </xf>
    <xf borderId="0" fillId="0" fontId="11" numFmtId="0" xfId="0" applyAlignment="1" applyFont="1">
      <alignment horizontal="left" shrinkToFit="0" textRotation="0" vertical="center" wrapText="0"/>
    </xf>
    <xf borderId="2" fillId="16" fontId="23" numFmtId="0" xfId="0" applyAlignment="1" applyBorder="1" applyFill="1" applyFont="1">
      <alignment horizontal="center" readingOrder="0" vertical="center"/>
    </xf>
    <xf borderId="2" fillId="17" fontId="24" numFmtId="0" xfId="0" applyAlignment="1" applyBorder="1" applyFill="1" applyFont="1">
      <alignment horizontal="center" readingOrder="0" vertical="center"/>
    </xf>
    <xf borderId="1" fillId="18" fontId="1" numFmtId="0" xfId="0" applyAlignment="1" applyBorder="1" applyFill="1" applyFont="1">
      <alignment horizontal="center" readingOrder="0" vertical="center"/>
    </xf>
    <xf borderId="2" fillId="19" fontId="1" numFmtId="0" xfId="0" applyAlignment="1" applyBorder="1" applyFill="1" applyFont="1">
      <alignment horizontal="left" readingOrder="0" vertical="center"/>
    </xf>
    <xf borderId="1" fillId="17" fontId="1" numFmtId="0" xfId="0" applyAlignment="1" applyBorder="1" applyFont="1">
      <alignment horizontal="center" readingOrder="0" vertical="center"/>
    </xf>
    <xf borderId="1" fillId="0" fontId="1" numFmtId="0" xfId="0" applyAlignment="1" applyBorder="1" applyFont="1">
      <alignment horizontal="center" vertical="center"/>
    </xf>
    <xf borderId="1" fillId="0" fontId="25" numFmtId="0" xfId="0" applyAlignment="1" applyBorder="1" applyFont="1">
      <alignment horizontal="center" readingOrder="0" shrinkToFit="0" vertical="center" wrapText="0"/>
    </xf>
    <xf borderId="2" fillId="20" fontId="26" numFmtId="0" xfId="0" applyAlignment="1" applyBorder="1" applyFill="1" applyFont="1">
      <alignment horizontal="center" readingOrder="0"/>
    </xf>
    <xf borderId="1" fillId="21" fontId="1" numFmtId="0" xfId="0" applyAlignment="1" applyBorder="1" applyFill="1" applyFont="1">
      <alignment horizontal="center" readingOrder="0"/>
    </xf>
    <xf borderId="1" fillId="22" fontId="27" numFmtId="0" xfId="0" applyAlignment="1" applyBorder="1" applyFill="1" applyFont="1">
      <alignment horizontal="center" readingOrder="0"/>
    </xf>
    <xf borderId="1" fillId="23" fontId="27" numFmtId="0" xfId="0" applyAlignment="1" applyBorder="1" applyFill="1" applyFont="1">
      <alignment horizontal="center"/>
    </xf>
    <xf borderId="1" fillId="24" fontId="27" numFmtId="0" xfId="0" applyAlignment="1" applyBorder="1" applyFill="1" applyFont="1">
      <alignment horizontal="center" readingOrder="0"/>
    </xf>
    <xf borderId="1" fillId="25" fontId="27" numFmtId="0" xfId="0" applyAlignment="1" applyBorder="1" applyFill="1" applyFont="1">
      <alignment horizontal="center"/>
    </xf>
    <xf borderId="1" fillId="18" fontId="27" numFmtId="0" xfId="0" applyAlignment="1" applyBorder="1" applyFont="1">
      <alignment horizontal="center"/>
    </xf>
    <xf borderId="1" fillId="26" fontId="27" numFmtId="0" xfId="0" applyAlignment="1" applyBorder="1" applyFill="1" applyFont="1">
      <alignment horizontal="center"/>
    </xf>
    <xf borderId="1" fillId="27" fontId="1" numFmtId="0" xfId="0" applyAlignment="1" applyBorder="1" applyFill="1" applyFont="1">
      <alignment horizontal="center" readingOrder="0"/>
    </xf>
    <xf borderId="1" fillId="27" fontId="1" numFmtId="0" xfId="0" applyAlignment="1" applyBorder="1" applyFont="1">
      <alignment horizontal="center"/>
    </xf>
    <xf borderId="2" fillId="28" fontId="1" numFmtId="0" xfId="0" applyAlignment="1" applyBorder="1" applyFill="1" applyFont="1">
      <alignment horizontal="center" readingOrder="0"/>
    </xf>
    <xf borderId="1" fillId="28" fontId="1" numFmtId="0" xfId="0" applyAlignment="1" applyBorder="1" applyFont="1">
      <alignment readingOrder="0"/>
    </xf>
    <xf borderId="0" fillId="0" fontId="28" numFmtId="0" xfId="0" applyAlignment="1" applyFont="1">
      <alignment readingOrder="0"/>
    </xf>
    <xf borderId="2" fillId="2" fontId="27" numFmtId="0" xfId="0" applyAlignment="1" applyBorder="1" applyFont="1">
      <alignment readingOrder="0"/>
    </xf>
    <xf borderId="1" fillId="2" fontId="1" numFmtId="0" xfId="0" applyBorder="1" applyFont="1"/>
    <xf borderId="1" fillId="2" fontId="1" numFmtId="0" xfId="0" applyAlignment="1" applyBorder="1" applyFont="1">
      <alignment readingOrder="0"/>
    </xf>
    <xf borderId="1" fillId="18" fontId="1" numFmtId="0" xfId="0" applyAlignment="1" applyBorder="1" applyFont="1">
      <alignment horizontal="center" vertical="center"/>
    </xf>
    <xf borderId="2" fillId="18" fontId="1" numFmtId="0" xfId="0" applyAlignment="1" applyBorder="1" applyFont="1">
      <alignment horizontal="center" readingOrder="0" vertical="center"/>
    </xf>
    <xf borderId="1" fillId="0" fontId="29" numFmtId="0" xfId="0" applyAlignment="1" applyBorder="1" applyFont="1">
      <alignment horizontal="center" readingOrder="0" vertical="center"/>
    </xf>
    <xf borderId="2" fillId="0" fontId="8" numFmtId="0" xfId="0" applyAlignment="1" applyBorder="1" applyFont="1">
      <alignment horizontal="center" readingOrder="0" shrinkToFit="0" vertical="center" wrapText="1"/>
    </xf>
    <xf borderId="1" fillId="0" fontId="30" numFmtId="0" xfId="0" applyAlignment="1" applyBorder="1" applyFont="1">
      <alignment horizontal="center" readingOrder="0"/>
    </xf>
    <xf borderId="2" fillId="0" fontId="30" numFmtId="0" xfId="0" applyAlignment="1" applyBorder="1" applyFont="1">
      <alignment horizontal="center" readingOrder="0"/>
    </xf>
    <xf borderId="1" fillId="0" fontId="28" numFmtId="0" xfId="0" applyBorder="1" applyFont="1"/>
    <xf borderId="2" fillId="0" fontId="28" numFmtId="0" xfId="0" applyBorder="1" applyFont="1"/>
    <xf borderId="16" fillId="29" fontId="31" numFmtId="0" xfId="0" applyAlignment="1" applyBorder="1" applyFill="1" applyFont="1">
      <alignment readingOrder="0" vertical="center"/>
    </xf>
    <xf borderId="17" fillId="0" fontId="5" numFmtId="0" xfId="0" applyBorder="1" applyFont="1"/>
    <xf borderId="16" fillId="30" fontId="1" numFmtId="0" xfId="0" applyAlignment="1" applyBorder="1" applyFill="1" applyFont="1">
      <alignment readingOrder="0"/>
    </xf>
    <xf borderId="18" fillId="0" fontId="1" numFmtId="0" xfId="0" applyAlignment="1" applyBorder="1" applyFont="1">
      <alignment readingOrder="0"/>
    </xf>
    <xf borderId="18" fillId="31" fontId="6" numFmtId="0" xfId="0" applyAlignment="1" applyBorder="1" applyFill="1" applyFont="1">
      <alignment horizontal="left" readingOrder="0" vertical="top"/>
    </xf>
    <xf borderId="0" fillId="31" fontId="32" numFmtId="0" xfId="0" applyAlignment="1" applyFont="1">
      <alignment shrinkToFit="0" vertical="bottom" wrapText="0"/>
    </xf>
    <xf borderId="18" fillId="31" fontId="6" numFmtId="0" xfId="0" applyAlignment="1" applyBorder="1" applyFont="1">
      <alignment horizontal="left" readingOrder="0" vertical="top"/>
    </xf>
    <xf borderId="18" fillId="31" fontId="25" numFmtId="0" xfId="0" applyAlignment="1" applyBorder="1" applyFont="1">
      <alignment horizontal="left" readingOrder="0" shrinkToFit="0" wrapText="0"/>
    </xf>
    <xf borderId="18" fillId="0" fontId="33" numFmtId="0" xfId="0" applyAlignment="1" applyBorder="1" applyFont="1">
      <alignment horizontal="left" readingOrder="0" shrinkToFit="0" vertical="bottom" wrapText="0"/>
    </xf>
    <xf borderId="17" fillId="30" fontId="25" numFmtId="0" xfId="0" applyAlignment="1" applyBorder="1" applyFont="1">
      <alignment horizontal="left" readingOrder="0" shrinkToFit="0" wrapText="0"/>
    </xf>
    <xf borderId="0" fillId="0" fontId="25" numFmtId="0" xfId="0" applyAlignment="1" applyFont="1">
      <alignment horizontal="left" readingOrder="0" shrinkToFit="0" wrapText="0"/>
    </xf>
    <xf borderId="0" fillId="31" fontId="32" numFmtId="0" xfId="0" applyAlignment="1" applyFont="1">
      <alignment horizontal="left" shrinkToFit="0" vertical="bottom" wrapText="0"/>
    </xf>
    <xf borderId="1" fillId="29" fontId="31" numFmtId="0" xfId="0" applyAlignment="1" applyBorder="1" applyFont="1">
      <alignment readingOrder="0"/>
    </xf>
    <xf borderId="18" fillId="0" fontId="27" numFmtId="0" xfId="0" applyAlignment="1" applyBorder="1" applyFont="1">
      <alignment readingOrder="0"/>
    </xf>
    <xf borderId="18" fillId="0" fontId="34" numFmtId="0" xfId="0" applyAlignment="1" applyBorder="1" applyFont="1">
      <alignment readingOrder="0"/>
    </xf>
    <xf borderId="17" fillId="30" fontId="1" numFmtId="0" xfId="0" applyAlignment="1" applyBorder="1" applyFont="1">
      <alignment readingOrder="0"/>
    </xf>
    <xf borderId="18" fillId="31" fontId="6" numFmtId="0" xfId="0" applyAlignment="1" applyBorder="1" applyFont="1">
      <alignment horizontal="left" readingOrder="0" vertical="top"/>
    </xf>
    <xf borderId="18" fillId="0" fontId="1" numFmtId="0" xfId="0" applyAlignment="1" applyBorder="1" applyFont="1">
      <alignment horizontal="left" readingOrder="0" shrinkToFit="0" vertical="bottom" wrapText="0"/>
    </xf>
    <xf borderId="0" fillId="0" fontId="27" numFmtId="0" xfId="0" applyFont="1"/>
    <xf borderId="18" fillId="30" fontId="25" numFmtId="0" xfId="0" applyAlignment="1" applyBorder="1" applyFont="1">
      <alignment horizontal="left" readingOrder="0" shrinkToFit="0" wrapText="0"/>
    </xf>
    <xf borderId="0" fillId="31" fontId="35" numFmtId="0" xfId="0" applyAlignment="1" applyFont="1">
      <alignment horizontal="left" readingOrder="0" shrinkToFit="0" wrapText="0"/>
    </xf>
    <xf borderId="0" fillId="31" fontId="25" numFmtId="0" xfId="0" applyAlignment="1" applyFont="1">
      <alignment horizontal="left" readingOrder="0" shrinkToFit="0" wrapText="0"/>
    </xf>
    <xf borderId="18" fillId="0" fontId="36" numFmtId="0" xfId="0" applyAlignment="1" applyBorder="1" applyFont="1">
      <alignment horizontal="left" readingOrder="0" shrinkToFit="0" wrapText="0"/>
    </xf>
    <xf borderId="2" fillId="32" fontId="37" numFmtId="0" xfId="0" applyAlignment="1" applyBorder="1" applyFill="1" applyFont="1">
      <alignment horizontal="center" readingOrder="0" vertical="center"/>
    </xf>
    <xf borderId="1" fillId="33" fontId="38" numFmtId="0" xfId="0" applyAlignment="1" applyBorder="1" applyFill="1" applyFont="1">
      <alignment horizontal="center" readingOrder="0"/>
    </xf>
    <xf borderId="1" fillId="0" fontId="25" numFmtId="0" xfId="0" applyAlignment="1" applyBorder="1" applyFont="1">
      <alignment horizontal="left" readingOrder="0" shrinkToFit="0" wrapText="0"/>
    </xf>
    <xf borderId="1" fillId="0" fontId="6" numFmtId="0" xfId="0" applyAlignment="1" applyBorder="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Test Case Report</a:t>
            </a:r>
          </a:p>
        </c:rich>
      </c:tx>
      <c:overlay val="0"/>
    </c:title>
    <c:plotArea>
      <c:layout/>
      <c:pieChart>
        <c:varyColors val="1"/>
        <c:ser>
          <c:idx val="0"/>
          <c:order val="0"/>
          <c:tx>
            <c:strRef>
              <c:f>'Test Summary Report'!$B$14</c:f>
            </c:strRef>
          </c:tx>
          <c:dPt>
            <c:idx val="0"/>
            <c:spPr>
              <a:solidFill>
                <a:srgbClr val="4285F4"/>
              </a:solidFill>
            </c:spPr>
          </c:dPt>
          <c:dLbls>
            <c:showLegendKey val="0"/>
            <c:showVal val="0"/>
            <c:showCatName val="0"/>
            <c:showSerName val="0"/>
            <c:showPercent val="1"/>
            <c:showBubbleSize val="0"/>
            <c:showLeaderLines val="1"/>
          </c:dLbls>
          <c:cat>
            <c:strRef>
              <c:f>'Test Summary Report'!$C$13:$F$13</c:f>
            </c:strRef>
          </c:cat>
          <c:val>
            <c:numRef>
              <c:f>'Test Summary Report'!$C$14:$F$14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2</xdr:row>
      <xdr:rowOff>200025</xdr:rowOff>
    </xdr:from>
    <xdr:ext cx="8667750" cy="4371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352425</xdr:colOff>
      <xdr:row>10</xdr:row>
      <xdr:rowOff>190500</xdr:rowOff>
    </xdr:from>
    <xdr:ext cx="3114675" cy="1914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artech.bd.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tartech.com.bd/" TargetMode="External"/><Relationship Id="rId2" Type="http://schemas.openxmlformats.org/officeDocument/2006/relationships/hyperlink" Target="https://drive.google.com/file/d/1cqaN5kZdi-5CAaSJwSxePNQQ6FqazPTe/view?usp=drive_link" TargetMode="External"/><Relationship Id="rId3" Type="http://schemas.openxmlformats.org/officeDocument/2006/relationships/hyperlink" Target="https://drive.google.com/file/d/1XXf3WyExXrXDc5_7ehP2gOPOMOWcJAcl/view?usp=drive_link" TargetMode="External"/><Relationship Id="rId4" Type="http://schemas.openxmlformats.org/officeDocument/2006/relationships/hyperlink" Target="https://drive.google.com/file/d/1hpfyB1cYt7H-3WePLr-MZ3hPFumY_CPi/view?usp=drive_link" TargetMode="External"/><Relationship Id="rId5" Type="http://schemas.openxmlformats.org/officeDocument/2006/relationships/hyperlink" Target="https://drive.google.com/file/d/1InUM9wDUuiBv0CV5zxUbLI_iJx_Zdn8y/view?usp=drive_link"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cqaN5kZdi-5CAaSJwSxePNQQ6FqazPTe/view?usp=drive_link" TargetMode="External"/><Relationship Id="rId2" Type="http://schemas.openxmlformats.org/officeDocument/2006/relationships/hyperlink" Target="https://drive.google.com/file/d/1XXf3WyExXrXDc5_7ehP2gOPOMOWcJAcl/view?usp=drive_link" TargetMode="External"/><Relationship Id="rId3" Type="http://schemas.openxmlformats.org/officeDocument/2006/relationships/hyperlink" Target="https://drive.google.com/file/d/1hpfyB1cYt7H-3WePLr-MZ3hPFumY_CPi/view?usp=drive_link" TargetMode="External"/><Relationship Id="rId4" Type="http://schemas.openxmlformats.org/officeDocument/2006/relationships/hyperlink" Target="https://drive.google.com/file/d/1InUM9wDUuiBv0CV5zxUbLI_iJx_Zdn8y/view?usp=drive_link" TargetMode="External"/><Relationship Id="rId5" Type="http://schemas.openxmlformats.org/officeDocument/2006/relationships/hyperlink" Target="https://drive.google.com/file/d/1Xk5rPhkqR9rF9JVsX655uMg0cv7jRY0M/view?usp=drive_link"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1" t="s">
        <v>0</v>
      </c>
    </row>
  </sheetData>
  <mergeCells count="1">
    <mergeCell ref="E2:G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9.13"/>
    <col customWidth="1" min="4" max="4" width="50.5"/>
    <col customWidth="1" min="6" max="6" width="25.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3" t="s">
        <v>1</v>
      </c>
      <c r="C3" s="4" t="s">
        <v>2</v>
      </c>
      <c r="D3" s="5"/>
      <c r="E3" s="6"/>
      <c r="F3" s="6"/>
      <c r="G3" s="2"/>
      <c r="H3" s="2"/>
      <c r="I3" s="2"/>
      <c r="J3" s="2"/>
      <c r="K3" s="2"/>
      <c r="L3" s="2"/>
      <c r="M3" s="2"/>
      <c r="N3" s="2"/>
      <c r="O3" s="2"/>
      <c r="P3" s="2"/>
      <c r="Q3" s="2"/>
      <c r="R3" s="2"/>
      <c r="S3" s="2"/>
      <c r="T3" s="2"/>
      <c r="U3" s="2"/>
      <c r="V3" s="2"/>
      <c r="W3" s="2"/>
      <c r="X3" s="2"/>
      <c r="Y3" s="2"/>
      <c r="Z3" s="2"/>
    </row>
    <row r="4">
      <c r="A4" s="2"/>
      <c r="B4" s="3" t="s">
        <v>3</v>
      </c>
      <c r="C4" s="7" t="s">
        <v>4</v>
      </c>
      <c r="D4" s="5"/>
      <c r="E4" s="6"/>
      <c r="F4" s="6"/>
      <c r="G4" s="2"/>
      <c r="H4" s="2"/>
      <c r="I4" s="2"/>
      <c r="J4" s="2"/>
      <c r="K4" s="2"/>
      <c r="L4" s="2"/>
      <c r="M4" s="2"/>
      <c r="N4" s="2"/>
      <c r="O4" s="2"/>
      <c r="P4" s="2"/>
      <c r="Q4" s="2"/>
      <c r="R4" s="2"/>
      <c r="S4" s="2"/>
      <c r="T4" s="2"/>
      <c r="U4" s="2"/>
      <c r="V4" s="2"/>
      <c r="W4" s="2"/>
      <c r="X4" s="2"/>
      <c r="Y4" s="2"/>
      <c r="Z4" s="2"/>
    </row>
    <row r="5">
      <c r="A5" s="2"/>
      <c r="B5" s="3" t="s">
        <v>5</v>
      </c>
      <c r="C5" s="7" t="s">
        <v>6</v>
      </c>
      <c r="D5" s="5"/>
      <c r="E5" s="6"/>
      <c r="F5" s="6"/>
      <c r="G5" s="2"/>
      <c r="H5" s="2"/>
      <c r="I5" s="2"/>
      <c r="J5" s="2"/>
      <c r="K5" s="2"/>
      <c r="L5" s="2"/>
      <c r="M5" s="2"/>
      <c r="N5" s="2"/>
      <c r="O5" s="2"/>
      <c r="P5" s="2"/>
      <c r="Q5" s="2"/>
      <c r="R5" s="2"/>
      <c r="S5" s="2"/>
      <c r="T5" s="2"/>
      <c r="U5" s="2"/>
      <c r="V5" s="2"/>
      <c r="W5" s="2"/>
      <c r="X5" s="2"/>
      <c r="Y5" s="2"/>
      <c r="Z5" s="2"/>
    </row>
    <row r="6">
      <c r="A6" s="2"/>
      <c r="B6" s="3" t="s">
        <v>7</v>
      </c>
      <c r="C6" s="8">
        <v>45690.0</v>
      </c>
      <c r="D6" s="5"/>
      <c r="E6" s="6"/>
      <c r="F6" s="6"/>
      <c r="G6" s="2"/>
      <c r="H6" s="2"/>
      <c r="I6" s="2"/>
      <c r="J6" s="2"/>
      <c r="K6" s="2"/>
      <c r="L6" s="2"/>
      <c r="M6" s="2"/>
      <c r="N6" s="2"/>
      <c r="O6" s="2"/>
      <c r="P6" s="2"/>
      <c r="Q6" s="2"/>
      <c r="R6" s="2"/>
      <c r="S6" s="2"/>
      <c r="T6" s="2"/>
      <c r="U6" s="2"/>
      <c r="V6" s="2"/>
      <c r="W6" s="2"/>
      <c r="X6" s="2"/>
      <c r="Y6" s="2"/>
      <c r="Z6" s="2"/>
    </row>
    <row r="7">
      <c r="A7" s="2"/>
      <c r="B7" s="3" t="s">
        <v>8</v>
      </c>
      <c r="C7" s="8">
        <v>45840.0</v>
      </c>
      <c r="D7" s="5"/>
      <c r="E7" s="6"/>
      <c r="F7" s="6"/>
      <c r="G7" s="2"/>
      <c r="H7" s="2"/>
      <c r="I7" s="2"/>
      <c r="J7" s="2"/>
      <c r="K7" s="2"/>
      <c r="L7" s="2"/>
      <c r="M7" s="2"/>
      <c r="N7" s="2"/>
      <c r="O7" s="2"/>
      <c r="P7" s="2"/>
      <c r="Q7" s="2"/>
      <c r="R7" s="2"/>
      <c r="S7" s="2"/>
      <c r="T7" s="2"/>
      <c r="U7" s="2"/>
      <c r="V7" s="2"/>
      <c r="W7" s="2"/>
      <c r="X7" s="2"/>
      <c r="Y7" s="2"/>
      <c r="Z7" s="2"/>
    </row>
    <row r="8">
      <c r="A8" s="2"/>
      <c r="B8" s="6"/>
      <c r="C8" s="6"/>
      <c r="D8" s="6"/>
      <c r="E8" s="6"/>
      <c r="F8" s="6"/>
      <c r="G8" s="2"/>
      <c r="H8" s="2"/>
      <c r="I8" s="2"/>
      <c r="J8" s="2"/>
      <c r="K8" s="2"/>
      <c r="L8" s="2"/>
      <c r="M8" s="2"/>
      <c r="N8" s="2"/>
      <c r="O8" s="2"/>
      <c r="P8" s="2"/>
      <c r="Q8" s="2"/>
      <c r="R8" s="2"/>
      <c r="S8" s="2"/>
      <c r="T8" s="2"/>
      <c r="U8" s="2"/>
      <c r="V8" s="2"/>
      <c r="W8" s="2"/>
      <c r="X8" s="2"/>
      <c r="Y8" s="2"/>
      <c r="Z8" s="2"/>
    </row>
    <row r="9">
      <c r="A9" s="2"/>
      <c r="B9" s="6"/>
      <c r="C9" s="6"/>
      <c r="D9" s="6"/>
      <c r="E9" s="6"/>
      <c r="F9" s="6"/>
      <c r="G9" s="2"/>
      <c r="H9" s="2"/>
      <c r="I9" s="2"/>
      <c r="J9" s="2"/>
      <c r="K9" s="2"/>
      <c r="L9" s="2"/>
      <c r="M9" s="2"/>
      <c r="N9" s="2"/>
      <c r="O9" s="2"/>
      <c r="P9" s="2"/>
      <c r="Q9" s="2"/>
      <c r="R9" s="2"/>
      <c r="S9" s="2"/>
      <c r="T9" s="2"/>
      <c r="U9" s="2"/>
      <c r="V9" s="2"/>
      <c r="W9" s="2"/>
      <c r="X9" s="2"/>
      <c r="Y9" s="2"/>
      <c r="Z9" s="2"/>
    </row>
    <row r="10">
      <c r="A10" s="2"/>
      <c r="B10" s="3" t="s">
        <v>9</v>
      </c>
      <c r="C10" s="3" t="s">
        <v>10</v>
      </c>
      <c r="D10" s="3" t="s">
        <v>11</v>
      </c>
      <c r="E10" s="3" t="s">
        <v>12</v>
      </c>
      <c r="F10" s="3" t="s">
        <v>13</v>
      </c>
      <c r="G10" s="2"/>
      <c r="H10" s="2"/>
      <c r="I10" s="2"/>
      <c r="J10" s="2"/>
      <c r="K10" s="2"/>
      <c r="L10" s="2"/>
      <c r="M10" s="2"/>
      <c r="N10" s="2"/>
      <c r="O10" s="2"/>
      <c r="P10" s="2"/>
      <c r="Q10" s="2"/>
      <c r="R10" s="2"/>
      <c r="S10" s="2"/>
      <c r="T10" s="2"/>
      <c r="U10" s="2"/>
      <c r="V10" s="2"/>
      <c r="W10" s="2"/>
      <c r="X10" s="2"/>
      <c r="Y10" s="2"/>
      <c r="Z10" s="2"/>
    </row>
    <row r="11">
      <c r="A11" s="2"/>
      <c r="B11" s="9" t="s">
        <v>14</v>
      </c>
      <c r="C11" s="10"/>
      <c r="D11" s="11" t="s">
        <v>15</v>
      </c>
      <c r="E11" s="9" t="s">
        <v>16</v>
      </c>
      <c r="F11" s="9">
        <v>1.0</v>
      </c>
      <c r="G11" s="2"/>
      <c r="H11" s="2"/>
      <c r="I11" s="2"/>
      <c r="J11" s="2"/>
      <c r="K11" s="2"/>
      <c r="L11" s="2"/>
      <c r="M11" s="2"/>
      <c r="N11" s="2"/>
      <c r="O11" s="2"/>
      <c r="P11" s="2"/>
      <c r="Q11" s="2"/>
      <c r="R11" s="2"/>
      <c r="S11" s="2"/>
      <c r="T11" s="2"/>
      <c r="U11" s="2"/>
      <c r="V11" s="2"/>
      <c r="W11" s="2"/>
      <c r="X11" s="2"/>
      <c r="Y11" s="2"/>
      <c r="Z11" s="2"/>
    </row>
    <row r="12">
      <c r="A12" s="2"/>
      <c r="B12" s="9" t="s">
        <v>17</v>
      </c>
      <c r="C12" s="10"/>
      <c r="D12" s="11" t="s">
        <v>18</v>
      </c>
      <c r="E12" s="9" t="s">
        <v>19</v>
      </c>
      <c r="F12" s="9">
        <v>30.0</v>
      </c>
      <c r="G12" s="2"/>
      <c r="H12" s="2"/>
      <c r="I12" s="2"/>
      <c r="J12" s="2"/>
      <c r="K12" s="2"/>
      <c r="L12" s="2"/>
      <c r="M12" s="2"/>
      <c r="N12" s="2"/>
      <c r="O12" s="2"/>
      <c r="P12" s="2"/>
      <c r="Q12" s="2"/>
      <c r="R12" s="2"/>
      <c r="S12" s="2"/>
      <c r="T12" s="2"/>
      <c r="U12" s="2"/>
      <c r="V12" s="2"/>
      <c r="W12" s="2"/>
      <c r="X12" s="2"/>
      <c r="Y12" s="2"/>
      <c r="Z12" s="2"/>
    </row>
    <row r="13">
      <c r="A13" s="2"/>
      <c r="B13" s="12"/>
      <c r="C13" s="13"/>
      <c r="D13" s="14"/>
      <c r="E13" s="13"/>
      <c r="F13" s="13"/>
      <c r="G13" s="2"/>
      <c r="H13" s="2"/>
      <c r="I13" s="2"/>
      <c r="J13" s="2"/>
      <c r="K13" s="2"/>
      <c r="L13" s="2"/>
      <c r="M13" s="2"/>
      <c r="N13" s="2"/>
      <c r="O13" s="2"/>
      <c r="P13" s="2"/>
      <c r="Q13" s="2"/>
      <c r="R13" s="2"/>
      <c r="S13" s="2"/>
      <c r="T13" s="2"/>
      <c r="U13" s="2"/>
      <c r="V13" s="2"/>
      <c r="W13" s="2"/>
      <c r="X13" s="2"/>
      <c r="Y13" s="2"/>
      <c r="Z13" s="2"/>
    </row>
    <row r="14">
      <c r="A14" s="2"/>
      <c r="B14" s="9" t="s">
        <v>20</v>
      </c>
      <c r="C14" s="10"/>
      <c r="D14" s="11" t="s">
        <v>21</v>
      </c>
      <c r="E14" s="9" t="s">
        <v>16</v>
      </c>
      <c r="F14" s="9">
        <v>35.0</v>
      </c>
      <c r="G14" s="2"/>
      <c r="H14" s="2"/>
      <c r="I14" s="2"/>
      <c r="J14" s="2"/>
      <c r="K14" s="2"/>
      <c r="L14" s="2"/>
      <c r="M14" s="2"/>
      <c r="N14" s="2"/>
      <c r="O14" s="2"/>
      <c r="P14" s="2"/>
      <c r="Q14" s="2"/>
      <c r="R14" s="2"/>
      <c r="S14" s="2"/>
      <c r="T14" s="2"/>
      <c r="U14" s="2"/>
      <c r="V14" s="2"/>
      <c r="W14" s="2"/>
      <c r="X14" s="2"/>
      <c r="Y14" s="2"/>
      <c r="Z14" s="2"/>
    </row>
    <row r="15">
      <c r="A15" s="2"/>
      <c r="B15" s="15"/>
      <c r="C15" s="15"/>
      <c r="D15" s="16"/>
      <c r="E15" s="15"/>
      <c r="F15" s="15"/>
      <c r="G15" s="2"/>
      <c r="H15" s="2"/>
      <c r="I15" s="2"/>
      <c r="J15" s="2"/>
      <c r="K15" s="2"/>
      <c r="L15" s="2"/>
      <c r="M15" s="2"/>
      <c r="N15" s="2"/>
      <c r="O15" s="2"/>
      <c r="P15" s="2"/>
      <c r="Q15" s="2"/>
      <c r="R15" s="2"/>
      <c r="S15" s="2"/>
      <c r="T15" s="2"/>
      <c r="U15" s="2"/>
      <c r="V15" s="2"/>
      <c r="W15" s="2"/>
      <c r="X15" s="2"/>
      <c r="Y15" s="2"/>
      <c r="Z15" s="2"/>
    </row>
    <row r="16">
      <c r="A16" s="2"/>
      <c r="B16" s="9" t="s">
        <v>22</v>
      </c>
      <c r="C16" s="10"/>
      <c r="D16" s="11" t="s">
        <v>23</v>
      </c>
      <c r="E16" s="9" t="s">
        <v>19</v>
      </c>
      <c r="F16" s="9">
        <v>5.0</v>
      </c>
      <c r="G16" s="2"/>
      <c r="H16" s="2"/>
      <c r="I16" s="2"/>
      <c r="J16" s="2"/>
      <c r="K16" s="2"/>
      <c r="L16" s="2"/>
      <c r="M16" s="2"/>
      <c r="N16" s="2"/>
      <c r="O16" s="2"/>
      <c r="P16" s="2"/>
      <c r="Q16" s="2"/>
      <c r="R16" s="2"/>
      <c r="S16" s="2"/>
      <c r="T16" s="2"/>
      <c r="U16" s="2"/>
      <c r="V16" s="2"/>
      <c r="W16" s="2"/>
      <c r="X16" s="2"/>
      <c r="Y16" s="2"/>
      <c r="Z16" s="2"/>
    </row>
    <row r="17">
      <c r="A17" s="2"/>
      <c r="B17" s="9" t="s">
        <v>22</v>
      </c>
      <c r="C17" s="10"/>
      <c r="D17" s="11" t="s">
        <v>24</v>
      </c>
      <c r="E17" s="9" t="s">
        <v>19</v>
      </c>
      <c r="F17" s="9">
        <v>1.0</v>
      </c>
      <c r="G17" s="2"/>
      <c r="H17" s="2"/>
      <c r="I17" s="2"/>
      <c r="J17" s="2"/>
      <c r="K17" s="2"/>
      <c r="L17" s="2"/>
      <c r="M17" s="2"/>
      <c r="N17" s="2"/>
      <c r="O17" s="2"/>
      <c r="P17" s="2"/>
      <c r="Q17" s="2"/>
      <c r="R17" s="2"/>
      <c r="S17" s="2"/>
      <c r="T17" s="2"/>
      <c r="U17" s="2"/>
      <c r="V17" s="2"/>
      <c r="W17" s="2"/>
      <c r="X17" s="2"/>
      <c r="Y17" s="2"/>
      <c r="Z17" s="2"/>
    </row>
    <row r="18">
      <c r="A18" s="2"/>
      <c r="B18" s="15"/>
      <c r="C18" s="15"/>
      <c r="D18" s="16"/>
      <c r="E18" s="15"/>
      <c r="F18" s="15"/>
      <c r="G18" s="2"/>
      <c r="H18" s="2"/>
      <c r="I18" s="2"/>
      <c r="J18" s="2"/>
      <c r="K18" s="2"/>
      <c r="L18" s="2"/>
      <c r="M18" s="2"/>
      <c r="N18" s="2"/>
      <c r="O18" s="2"/>
      <c r="P18" s="2"/>
      <c r="Q18" s="2"/>
      <c r="R18" s="2"/>
      <c r="S18" s="2"/>
      <c r="T18" s="2"/>
      <c r="U18" s="2"/>
      <c r="V18" s="2"/>
      <c r="W18" s="2"/>
      <c r="X18" s="2"/>
      <c r="Y18" s="2"/>
      <c r="Z18" s="2"/>
    </row>
    <row r="19">
      <c r="A19" s="2"/>
      <c r="B19" s="9" t="s">
        <v>25</v>
      </c>
      <c r="C19" s="10"/>
      <c r="D19" s="11" t="s">
        <v>26</v>
      </c>
      <c r="E19" s="9" t="s">
        <v>27</v>
      </c>
      <c r="F19" s="9">
        <v>1.0</v>
      </c>
      <c r="G19" s="2"/>
      <c r="H19" s="2"/>
      <c r="I19" s="2"/>
      <c r="J19" s="2"/>
      <c r="K19" s="2"/>
      <c r="L19" s="2"/>
      <c r="M19" s="2"/>
      <c r="N19" s="2"/>
      <c r="O19" s="2"/>
      <c r="P19" s="2"/>
      <c r="Q19" s="2"/>
      <c r="R19" s="2"/>
      <c r="S19" s="2"/>
      <c r="T19" s="2"/>
      <c r="U19" s="2"/>
      <c r="V19" s="2"/>
      <c r="W19" s="2"/>
      <c r="X19" s="2"/>
      <c r="Y19" s="2"/>
      <c r="Z19" s="2"/>
    </row>
    <row r="20">
      <c r="A20" s="2"/>
      <c r="B20" s="9" t="s">
        <v>28</v>
      </c>
      <c r="C20" s="10"/>
      <c r="D20" s="11" t="s">
        <v>29</v>
      </c>
      <c r="E20" s="9" t="s">
        <v>27</v>
      </c>
      <c r="F20" s="9">
        <v>1.0</v>
      </c>
      <c r="G20" s="2"/>
      <c r="H20" s="2"/>
      <c r="I20" s="2"/>
      <c r="J20" s="2"/>
      <c r="K20" s="2"/>
      <c r="L20" s="2"/>
      <c r="M20" s="2"/>
      <c r="N20" s="2"/>
      <c r="O20" s="2"/>
      <c r="P20" s="2"/>
      <c r="Q20" s="2"/>
      <c r="R20" s="2"/>
      <c r="S20" s="2"/>
      <c r="T20" s="2"/>
      <c r="U20" s="2"/>
      <c r="V20" s="2"/>
      <c r="W20" s="2"/>
      <c r="X20" s="2"/>
      <c r="Y20" s="2"/>
      <c r="Z20" s="2"/>
    </row>
    <row r="21">
      <c r="A21" s="2"/>
      <c r="B21" s="9" t="s">
        <v>30</v>
      </c>
      <c r="C21" s="10"/>
      <c r="D21" s="11" t="s">
        <v>31</v>
      </c>
      <c r="E21" s="9" t="s">
        <v>32</v>
      </c>
      <c r="F21" s="9">
        <v>1.0</v>
      </c>
      <c r="G21" s="2"/>
      <c r="H21" s="2"/>
      <c r="I21" s="2"/>
      <c r="J21" s="2"/>
      <c r="K21" s="2"/>
      <c r="L21" s="2"/>
      <c r="M21" s="2"/>
      <c r="N21" s="2"/>
      <c r="O21" s="2"/>
      <c r="P21" s="2"/>
      <c r="Q21" s="2"/>
      <c r="R21" s="2"/>
      <c r="S21" s="2"/>
      <c r="T21" s="2"/>
      <c r="U21" s="2"/>
      <c r="V21" s="2"/>
      <c r="W21" s="2"/>
      <c r="X21" s="2"/>
      <c r="Y21" s="2"/>
      <c r="Z21" s="2"/>
    </row>
    <row r="22">
      <c r="A22" s="2"/>
      <c r="B22" s="9" t="s">
        <v>33</v>
      </c>
      <c r="C22" s="10"/>
      <c r="D22" s="11" t="s">
        <v>34</v>
      </c>
      <c r="E22" s="9" t="s">
        <v>32</v>
      </c>
      <c r="F22" s="9">
        <v>5.0</v>
      </c>
      <c r="G22" s="2"/>
      <c r="H22" s="2"/>
      <c r="I22" s="2"/>
      <c r="J22" s="2"/>
      <c r="K22" s="2"/>
      <c r="L22" s="2"/>
      <c r="M22" s="2"/>
      <c r="N22" s="2"/>
      <c r="O22" s="2"/>
      <c r="P22" s="2"/>
      <c r="Q22" s="2"/>
      <c r="R22" s="2"/>
      <c r="S22" s="2"/>
      <c r="T22" s="2"/>
      <c r="U22" s="2"/>
      <c r="V22" s="2"/>
      <c r="W22" s="2"/>
      <c r="X22" s="2"/>
      <c r="Y22" s="2"/>
      <c r="Z22" s="2"/>
    </row>
    <row r="23">
      <c r="A23" s="2"/>
      <c r="B23" s="9" t="s">
        <v>35</v>
      </c>
      <c r="C23" s="10"/>
      <c r="D23" s="11" t="s">
        <v>36</v>
      </c>
      <c r="E23" s="9" t="s">
        <v>19</v>
      </c>
      <c r="F23" s="9">
        <v>5.0</v>
      </c>
      <c r="G23" s="2"/>
      <c r="H23" s="2"/>
      <c r="I23" s="2"/>
      <c r="J23" s="2"/>
      <c r="K23" s="2"/>
      <c r="L23" s="2"/>
      <c r="M23" s="2"/>
      <c r="N23" s="2"/>
      <c r="O23" s="2"/>
      <c r="P23" s="2"/>
      <c r="Q23" s="2"/>
      <c r="R23" s="2"/>
      <c r="S23" s="2"/>
      <c r="T23" s="2"/>
      <c r="U23" s="2"/>
      <c r="V23" s="2"/>
      <c r="W23" s="2"/>
      <c r="X23" s="2"/>
      <c r="Y23" s="2"/>
      <c r="Z23" s="2"/>
    </row>
    <row r="24">
      <c r="A24" s="2"/>
      <c r="B24" s="9" t="s">
        <v>37</v>
      </c>
      <c r="C24" s="10"/>
      <c r="D24" s="11" t="s">
        <v>38</v>
      </c>
      <c r="E24" s="9" t="s">
        <v>39</v>
      </c>
      <c r="F24" s="9">
        <v>10.0</v>
      </c>
      <c r="G24" s="2"/>
      <c r="H24" s="2"/>
      <c r="I24" s="2"/>
      <c r="J24" s="2"/>
      <c r="K24" s="2"/>
      <c r="L24" s="2"/>
      <c r="M24" s="2"/>
      <c r="N24" s="2"/>
      <c r="O24" s="2"/>
      <c r="P24" s="2"/>
      <c r="Q24" s="2"/>
      <c r="R24" s="2"/>
      <c r="S24" s="2"/>
      <c r="T24" s="2"/>
      <c r="U24" s="2"/>
      <c r="V24" s="2"/>
      <c r="W24" s="2"/>
      <c r="X24" s="2"/>
      <c r="Y24" s="2"/>
      <c r="Z24" s="2"/>
    </row>
    <row r="25">
      <c r="A25" s="2"/>
      <c r="B25" s="9" t="s">
        <v>40</v>
      </c>
      <c r="C25" s="10"/>
      <c r="D25" s="11" t="s">
        <v>41</v>
      </c>
      <c r="E25" s="9" t="s">
        <v>42</v>
      </c>
      <c r="F25" s="9">
        <v>1.0</v>
      </c>
      <c r="G25" s="2"/>
      <c r="H25" s="2"/>
      <c r="I25" s="2"/>
      <c r="J25" s="2"/>
      <c r="K25" s="2"/>
      <c r="L25" s="2"/>
      <c r="M25" s="2"/>
      <c r="N25" s="2"/>
      <c r="O25" s="2"/>
      <c r="P25" s="2"/>
      <c r="Q25" s="2"/>
      <c r="R25" s="2"/>
      <c r="S25" s="2"/>
      <c r="T25" s="2"/>
      <c r="U25" s="2"/>
      <c r="V25" s="2"/>
      <c r="W25" s="2"/>
      <c r="X25" s="2"/>
      <c r="Y25" s="2"/>
      <c r="Z25" s="2"/>
    </row>
    <row r="26">
      <c r="A26" s="2"/>
      <c r="B26" s="9" t="s">
        <v>43</v>
      </c>
      <c r="C26" s="10"/>
      <c r="D26" s="11" t="s">
        <v>44</v>
      </c>
      <c r="E26" s="9" t="s">
        <v>42</v>
      </c>
      <c r="F26" s="9">
        <v>1.0</v>
      </c>
      <c r="G26" s="2"/>
      <c r="H26" s="2"/>
      <c r="I26" s="2"/>
      <c r="J26" s="2"/>
      <c r="K26" s="2"/>
      <c r="L26" s="2"/>
      <c r="M26" s="2"/>
      <c r="N26" s="2"/>
      <c r="O26" s="2"/>
      <c r="P26" s="2"/>
      <c r="Q26" s="2"/>
      <c r="R26" s="2"/>
      <c r="S26" s="2"/>
      <c r="T26" s="2"/>
      <c r="U26" s="2"/>
      <c r="V26" s="2"/>
      <c r="W26" s="2"/>
      <c r="X26" s="2"/>
      <c r="Y26" s="2"/>
      <c r="Z26" s="2"/>
    </row>
    <row r="27">
      <c r="A27" s="2"/>
      <c r="B27" s="9" t="s">
        <v>45</v>
      </c>
      <c r="C27" s="10"/>
      <c r="D27" s="11" t="s">
        <v>46</v>
      </c>
      <c r="E27" s="9" t="s">
        <v>27</v>
      </c>
      <c r="F27" s="9">
        <v>1.0</v>
      </c>
      <c r="G27" s="2"/>
      <c r="H27" s="2"/>
      <c r="I27" s="2"/>
      <c r="J27" s="2"/>
      <c r="K27" s="2"/>
      <c r="L27" s="2"/>
      <c r="M27" s="2"/>
      <c r="N27" s="2"/>
      <c r="O27" s="2"/>
      <c r="P27" s="2"/>
      <c r="Q27" s="2"/>
      <c r="R27" s="2"/>
      <c r="S27" s="2"/>
      <c r="T27" s="2"/>
      <c r="U27" s="2"/>
      <c r="V27" s="2"/>
      <c r="W27" s="2"/>
      <c r="X27" s="2"/>
      <c r="Y27" s="2"/>
      <c r="Z27" s="2"/>
    </row>
    <row r="28">
      <c r="A28" s="2"/>
      <c r="B28" s="9" t="s">
        <v>47</v>
      </c>
      <c r="C28" s="10"/>
      <c r="D28" s="11" t="s">
        <v>48</v>
      </c>
      <c r="E28" s="9" t="s">
        <v>32</v>
      </c>
      <c r="F28" s="9">
        <v>1.0</v>
      </c>
      <c r="G28" s="2"/>
      <c r="H28" s="2"/>
      <c r="I28" s="2"/>
      <c r="J28" s="2"/>
      <c r="K28" s="2"/>
      <c r="L28" s="2"/>
      <c r="M28" s="2"/>
      <c r="N28" s="2"/>
      <c r="O28" s="2"/>
      <c r="P28" s="2"/>
      <c r="Q28" s="2"/>
      <c r="R28" s="2"/>
      <c r="S28" s="2"/>
      <c r="T28" s="2"/>
      <c r="U28" s="2"/>
      <c r="V28" s="2"/>
      <c r="W28" s="2"/>
      <c r="X28" s="2"/>
      <c r="Y28" s="2"/>
      <c r="Z28" s="2"/>
    </row>
    <row r="29">
      <c r="A29" s="2"/>
      <c r="B29" s="9" t="s">
        <v>49</v>
      </c>
      <c r="C29" s="10"/>
      <c r="D29" s="11" t="s">
        <v>50</v>
      </c>
      <c r="E29" s="9" t="s">
        <v>32</v>
      </c>
      <c r="F29" s="9">
        <v>1.0</v>
      </c>
      <c r="G29" s="2"/>
      <c r="H29" s="2"/>
      <c r="I29" s="2"/>
      <c r="J29" s="2"/>
      <c r="K29" s="2"/>
      <c r="L29" s="2"/>
      <c r="M29" s="2"/>
      <c r="N29" s="2"/>
      <c r="O29" s="2"/>
      <c r="P29" s="2"/>
      <c r="Q29" s="2"/>
      <c r="R29" s="2"/>
      <c r="S29" s="2"/>
      <c r="T29" s="2"/>
      <c r="U29" s="2"/>
      <c r="V29" s="2"/>
      <c r="W29" s="2"/>
      <c r="X29" s="2"/>
      <c r="Y29" s="2"/>
      <c r="Z29" s="2"/>
    </row>
    <row r="30">
      <c r="A30" s="2"/>
      <c r="B30" s="9" t="s">
        <v>51</v>
      </c>
      <c r="C30" s="10"/>
      <c r="D30" s="11" t="s">
        <v>52</v>
      </c>
      <c r="E30" s="9" t="s">
        <v>19</v>
      </c>
      <c r="F30" s="17">
        <v>4.0</v>
      </c>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sheetData>
  <mergeCells count="5">
    <mergeCell ref="C3:D3"/>
    <mergeCell ref="C4:D4"/>
    <mergeCell ref="C5:D5"/>
    <mergeCell ref="C6:D6"/>
    <mergeCell ref="C7:D7"/>
  </mergeCells>
  <hyperlinks>
    <hyperlink r:id="rId1" ref="C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5" max="5" width="37.88"/>
    <col customWidth="1" min="6" max="6" width="25.5"/>
    <col customWidth="1" min="7" max="7" width="25.38"/>
    <col customWidth="1" min="10" max="10" width="13.5"/>
  </cols>
  <sheetData>
    <row r="1">
      <c r="A1" s="18"/>
      <c r="B1" s="19"/>
      <c r="C1" s="20"/>
      <c r="D1" s="19"/>
      <c r="E1" s="21"/>
      <c r="F1" s="22"/>
      <c r="G1" s="23"/>
      <c r="H1" s="24"/>
      <c r="I1" s="25"/>
      <c r="J1" s="26"/>
      <c r="K1" s="24"/>
      <c r="L1" s="18"/>
      <c r="M1" s="27"/>
      <c r="N1" s="28"/>
      <c r="O1" s="29"/>
      <c r="P1" s="29"/>
      <c r="Q1" s="29"/>
      <c r="R1" s="29"/>
      <c r="S1" s="29"/>
      <c r="T1" s="29"/>
      <c r="U1" s="29"/>
      <c r="V1" s="29"/>
      <c r="W1" s="29"/>
      <c r="X1" s="29"/>
      <c r="Y1" s="29"/>
      <c r="Z1" s="29"/>
    </row>
    <row r="2">
      <c r="A2" s="30" t="s">
        <v>53</v>
      </c>
      <c r="B2" s="5"/>
      <c r="C2" s="31" t="s">
        <v>54</v>
      </c>
      <c r="D2" s="32" t="s">
        <v>55</v>
      </c>
      <c r="E2" s="33" t="s">
        <v>56</v>
      </c>
      <c r="F2" s="34" t="s">
        <v>57</v>
      </c>
      <c r="G2" s="35" t="s">
        <v>58</v>
      </c>
      <c r="H2" s="24"/>
      <c r="I2" s="25"/>
      <c r="J2" s="26"/>
      <c r="K2" s="24"/>
      <c r="L2" s="36" t="s">
        <v>59</v>
      </c>
      <c r="M2" s="5"/>
      <c r="N2" s="28"/>
      <c r="O2" s="29"/>
      <c r="P2" s="29"/>
      <c r="Q2" s="29"/>
      <c r="R2" s="29"/>
      <c r="S2" s="29"/>
      <c r="T2" s="29"/>
      <c r="U2" s="29"/>
      <c r="V2" s="29"/>
      <c r="W2" s="29"/>
      <c r="X2" s="29"/>
      <c r="Y2" s="29"/>
      <c r="Z2" s="29"/>
    </row>
    <row r="3">
      <c r="A3" s="30" t="s">
        <v>60</v>
      </c>
      <c r="B3" s="5"/>
      <c r="C3" s="33" t="s">
        <v>61</v>
      </c>
      <c r="D3" s="32" t="s">
        <v>62</v>
      </c>
      <c r="E3" s="37">
        <v>45332.0</v>
      </c>
      <c r="F3" s="34" t="s">
        <v>63</v>
      </c>
      <c r="G3" s="35" t="s">
        <v>58</v>
      </c>
      <c r="H3" s="24"/>
      <c r="I3" s="25"/>
      <c r="J3" s="26"/>
      <c r="K3" s="24"/>
      <c r="L3" s="38" t="s">
        <v>64</v>
      </c>
      <c r="M3" s="39">
        <f>COUNTIF(L10:L86, "Passed")</f>
        <v>58</v>
      </c>
      <c r="N3" s="28"/>
      <c r="O3" s="29"/>
      <c r="P3" s="29"/>
      <c r="Q3" s="29"/>
      <c r="R3" s="29"/>
      <c r="S3" s="29"/>
      <c r="T3" s="29"/>
      <c r="U3" s="29"/>
      <c r="V3" s="29"/>
      <c r="W3" s="29"/>
      <c r="X3" s="29"/>
      <c r="Y3" s="29"/>
      <c r="Z3" s="29"/>
    </row>
    <row r="4">
      <c r="A4" s="30" t="s">
        <v>65</v>
      </c>
      <c r="B4" s="5"/>
      <c r="C4" s="40"/>
      <c r="D4" s="34" t="s">
        <v>66</v>
      </c>
      <c r="E4" s="41" t="s">
        <v>6</v>
      </c>
      <c r="F4" s="34" t="s">
        <v>67</v>
      </c>
      <c r="G4" s="35" t="s">
        <v>68</v>
      </c>
      <c r="H4" s="24"/>
      <c r="I4" s="25"/>
      <c r="J4" s="26"/>
      <c r="K4" s="24"/>
      <c r="L4" s="42" t="s">
        <v>69</v>
      </c>
      <c r="M4" s="39">
        <f>COUNTIF(L10:L86, "Failed")</f>
        <v>9</v>
      </c>
      <c r="N4" s="28"/>
      <c r="O4" s="29"/>
      <c r="P4" s="29"/>
      <c r="Q4" s="29"/>
      <c r="R4" s="29"/>
      <c r="S4" s="29"/>
      <c r="T4" s="29"/>
      <c r="U4" s="29"/>
      <c r="V4" s="29"/>
      <c r="W4" s="29"/>
      <c r="X4" s="29"/>
      <c r="Y4" s="29"/>
      <c r="Z4" s="29"/>
    </row>
    <row r="5">
      <c r="A5" s="30" t="s">
        <v>70</v>
      </c>
      <c r="B5" s="5"/>
      <c r="C5" s="40"/>
      <c r="D5" s="34" t="s">
        <v>71</v>
      </c>
      <c r="E5" s="33" t="s">
        <v>4</v>
      </c>
      <c r="F5" s="34" t="s">
        <v>72</v>
      </c>
      <c r="G5" s="35" t="s">
        <v>68</v>
      </c>
      <c r="H5" s="24"/>
      <c r="I5" s="25"/>
      <c r="J5" s="26"/>
      <c r="K5" s="24"/>
      <c r="L5" s="43" t="s">
        <v>73</v>
      </c>
      <c r="M5" s="39">
        <f>COUNTIF(L10:L86, "Not Executed")</f>
        <v>0</v>
      </c>
      <c r="N5" s="28"/>
      <c r="O5" s="29"/>
      <c r="P5" s="29"/>
      <c r="Q5" s="29"/>
      <c r="R5" s="29"/>
      <c r="S5" s="29"/>
      <c r="T5" s="29"/>
      <c r="U5" s="29"/>
      <c r="V5" s="29"/>
      <c r="W5" s="29"/>
      <c r="X5" s="29"/>
      <c r="Y5" s="29"/>
      <c r="Z5" s="29"/>
    </row>
    <row r="6">
      <c r="A6" s="44" t="s">
        <v>74</v>
      </c>
      <c r="B6" s="5"/>
      <c r="C6" s="45"/>
      <c r="D6" s="46"/>
      <c r="E6" s="46"/>
      <c r="F6" s="46"/>
      <c r="G6" s="5"/>
      <c r="H6" s="24"/>
      <c r="I6" s="25"/>
      <c r="J6" s="26"/>
      <c r="K6" s="24"/>
      <c r="L6" s="47" t="s">
        <v>75</v>
      </c>
      <c r="M6" s="48">
        <f>COUNTIF(L10:L86, "Out of Scope")</f>
        <v>0</v>
      </c>
      <c r="N6" s="28"/>
      <c r="O6" s="29"/>
      <c r="P6" s="29"/>
      <c r="Q6" s="29"/>
      <c r="R6" s="29"/>
      <c r="S6" s="29"/>
      <c r="T6" s="29"/>
      <c r="U6" s="29"/>
      <c r="V6" s="29"/>
      <c r="W6" s="29"/>
      <c r="X6" s="29"/>
      <c r="Y6" s="29"/>
      <c r="Z6" s="29"/>
    </row>
    <row r="7">
      <c r="A7" s="49"/>
      <c r="B7" s="50"/>
      <c r="C7" s="51"/>
      <c r="D7" s="50"/>
      <c r="E7" s="52"/>
      <c r="F7" s="52"/>
      <c r="G7" s="24"/>
      <c r="H7" s="24"/>
      <c r="I7" s="25"/>
      <c r="J7" s="26"/>
      <c r="K7" s="24"/>
      <c r="L7" s="53" t="s">
        <v>76</v>
      </c>
      <c r="M7" s="39">
        <f>SUM(M2:M6)</f>
        <v>67</v>
      </c>
      <c r="N7" s="28"/>
      <c r="O7" s="29"/>
      <c r="P7" s="29"/>
      <c r="Q7" s="29"/>
      <c r="R7" s="29"/>
      <c r="S7" s="29"/>
      <c r="T7" s="29"/>
      <c r="U7" s="29"/>
      <c r="V7" s="29"/>
      <c r="W7" s="29"/>
      <c r="X7" s="29"/>
      <c r="Y7" s="29"/>
      <c r="Z7" s="29"/>
    </row>
    <row r="8">
      <c r="A8" s="49"/>
      <c r="B8" s="50"/>
      <c r="C8" s="51"/>
      <c r="D8" s="50"/>
      <c r="E8" s="52"/>
      <c r="F8" s="21"/>
      <c r="G8" s="24"/>
      <c r="H8" s="24"/>
      <c r="I8" s="25"/>
      <c r="J8" s="26"/>
      <c r="K8" s="24"/>
      <c r="L8" s="18"/>
      <c r="M8" s="27"/>
      <c r="N8" s="28"/>
      <c r="O8" s="29"/>
      <c r="P8" s="29"/>
      <c r="Q8" s="29"/>
      <c r="R8" s="29"/>
      <c r="S8" s="29"/>
      <c r="T8" s="29"/>
      <c r="U8" s="29"/>
      <c r="V8" s="29"/>
      <c r="W8" s="29"/>
      <c r="X8" s="29"/>
      <c r="Y8" s="29"/>
      <c r="Z8" s="29"/>
    </row>
    <row r="9" ht="26.25" customHeight="1">
      <c r="A9" s="54"/>
      <c r="B9" s="55" t="s">
        <v>77</v>
      </c>
      <c r="C9" s="55" t="s">
        <v>78</v>
      </c>
      <c r="D9" s="55" t="s">
        <v>79</v>
      </c>
      <c r="E9" s="55" t="s">
        <v>80</v>
      </c>
      <c r="F9" s="55" t="s">
        <v>81</v>
      </c>
      <c r="G9" s="55" t="s">
        <v>82</v>
      </c>
      <c r="H9" s="55" t="s">
        <v>83</v>
      </c>
      <c r="I9" s="55" t="s">
        <v>84</v>
      </c>
      <c r="J9" s="56" t="s">
        <v>85</v>
      </c>
      <c r="K9" s="55" t="s">
        <v>86</v>
      </c>
      <c r="L9" s="55" t="s">
        <v>87</v>
      </c>
      <c r="M9" s="55" t="s">
        <v>88</v>
      </c>
      <c r="N9" s="57"/>
      <c r="O9" s="58"/>
      <c r="P9" s="58"/>
      <c r="Q9" s="58"/>
      <c r="R9" s="58"/>
      <c r="S9" s="58"/>
      <c r="T9" s="58"/>
      <c r="U9" s="58"/>
      <c r="V9" s="58"/>
      <c r="W9" s="58"/>
      <c r="X9" s="58"/>
      <c r="Y9" s="58"/>
      <c r="Z9" s="58"/>
    </row>
    <row r="10" ht="41.25" customHeight="1">
      <c r="A10" s="59">
        <v>1.0</v>
      </c>
      <c r="B10" s="60" t="s">
        <v>61</v>
      </c>
      <c r="C10" s="61" t="s">
        <v>89</v>
      </c>
      <c r="D10" s="62" t="s">
        <v>61</v>
      </c>
      <c r="E10" s="63" t="s">
        <v>90</v>
      </c>
      <c r="F10" s="63" t="s">
        <v>91</v>
      </c>
      <c r="G10" s="64" t="s">
        <v>92</v>
      </c>
      <c r="H10" s="64" t="s">
        <v>93</v>
      </c>
      <c r="I10" s="65" t="s">
        <v>94</v>
      </c>
      <c r="J10" s="66"/>
      <c r="K10" s="67"/>
      <c r="L10" s="68" t="s">
        <v>95</v>
      </c>
      <c r="M10" s="69"/>
      <c r="N10" s="28"/>
      <c r="O10" s="29"/>
      <c r="P10" s="29"/>
      <c r="Q10" s="29"/>
      <c r="R10" s="29"/>
      <c r="S10" s="29"/>
      <c r="T10" s="29"/>
      <c r="U10" s="29"/>
      <c r="V10" s="29"/>
      <c r="W10" s="29"/>
      <c r="X10" s="29"/>
      <c r="Y10" s="29"/>
      <c r="Z10" s="29"/>
    </row>
    <row r="11">
      <c r="A11" s="70"/>
      <c r="B11" s="71"/>
      <c r="C11" s="72"/>
      <c r="D11" s="73"/>
      <c r="E11" s="74"/>
      <c r="F11" s="74"/>
      <c r="G11" s="75"/>
      <c r="H11" s="75"/>
      <c r="I11" s="76"/>
      <c r="J11" s="77"/>
      <c r="K11" s="75"/>
      <c r="L11" s="73"/>
      <c r="M11" s="78"/>
      <c r="N11" s="29"/>
      <c r="O11" s="29"/>
      <c r="P11" s="29"/>
      <c r="Q11" s="29"/>
      <c r="R11" s="29"/>
      <c r="S11" s="29"/>
      <c r="T11" s="29"/>
      <c r="U11" s="29"/>
      <c r="V11" s="29"/>
      <c r="W11" s="29"/>
      <c r="X11" s="29"/>
      <c r="Y11" s="29"/>
      <c r="Z11" s="29"/>
    </row>
    <row r="12" ht="29.25" customHeight="1">
      <c r="A12" s="79">
        <v>2.0</v>
      </c>
      <c r="B12" s="80"/>
      <c r="C12" s="81"/>
      <c r="D12" s="82" t="s">
        <v>96</v>
      </c>
      <c r="E12" s="83" t="s">
        <v>97</v>
      </c>
      <c r="F12" s="83" t="s">
        <v>98</v>
      </c>
      <c r="G12" s="84" t="s">
        <v>92</v>
      </c>
      <c r="H12" s="84" t="s">
        <v>99</v>
      </c>
      <c r="I12" s="85" t="s">
        <v>100</v>
      </c>
      <c r="J12" s="86"/>
      <c r="K12" s="87"/>
      <c r="L12" s="88" t="s">
        <v>101</v>
      </c>
      <c r="M12" s="89"/>
      <c r="N12" s="29"/>
      <c r="O12" s="29"/>
      <c r="P12" s="29"/>
      <c r="Q12" s="29"/>
      <c r="R12" s="29"/>
      <c r="S12" s="29"/>
      <c r="T12" s="29"/>
      <c r="U12" s="29"/>
      <c r="V12" s="29"/>
      <c r="W12" s="29"/>
      <c r="X12" s="29"/>
      <c r="Y12" s="29"/>
      <c r="Z12" s="29"/>
    </row>
    <row r="13" ht="29.25" customHeight="1">
      <c r="A13" s="79">
        <v>3.0</v>
      </c>
      <c r="B13" s="80"/>
      <c r="C13" s="81"/>
      <c r="D13" s="90"/>
      <c r="E13" s="83" t="s">
        <v>102</v>
      </c>
      <c r="F13" s="83" t="s">
        <v>103</v>
      </c>
      <c r="G13" s="84" t="s">
        <v>92</v>
      </c>
      <c r="H13" s="84" t="s">
        <v>99</v>
      </c>
      <c r="I13" s="85" t="s">
        <v>104</v>
      </c>
      <c r="J13" s="86"/>
      <c r="K13" s="87"/>
      <c r="L13" s="88" t="s">
        <v>101</v>
      </c>
      <c r="M13" s="89"/>
      <c r="N13" s="29"/>
      <c r="O13" s="29"/>
      <c r="P13" s="29"/>
      <c r="Q13" s="29"/>
      <c r="R13" s="29"/>
      <c r="S13" s="29"/>
      <c r="T13" s="29"/>
      <c r="U13" s="29"/>
      <c r="V13" s="29"/>
      <c r="W13" s="29"/>
      <c r="X13" s="29"/>
      <c r="Y13" s="29"/>
      <c r="Z13" s="29"/>
    </row>
    <row r="14" ht="17.25" customHeight="1">
      <c r="A14" s="79">
        <v>4.0</v>
      </c>
      <c r="B14" s="80"/>
      <c r="C14" s="81"/>
      <c r="D14" s="90"/>
      <c r="E14" s="91" t="s">
        <v>105</v>
      </c>
      <c r="F14" s="83" t="s">
        <v>106</v>
      </c>
      <c r="G14" s="84" t="s">
        <v>92</v>
      </c>
      <c r="H14" s="84" t="s">
        <v>99</v>
      </c>
      <c r="I14" s="85" t="s">
        <v>107</v>
      </c>
      <c r="J14" s="92"/>
      <c r="K14" s="93"/>
      <c r="L14" s="94"/>
      <c r="M14" s="95"/>
      <c r="N14" s="29"/>
      <c r="O14" s="29"/>
      <c r="P14" s="29"/>
      <c r="Q14" s="29"/>
      <c r="R14" s="29"/>
      <c r="S14" s="29"/>
      <c r="T14" s="29"/>
      <c r="U14" s="29"/>
      <c r="V14" s="29"/>
      <c r="W14" s="29"/>
      <c r="X14" s="29"/>
      <c r="Y14" s="29"/>
      <c r="Z14" s="29"/>
    </row>
    <row r="15" ht="27.75" customHeight="1">
      <c r="A15" s="79">
        <v>5.0</v>
      </c>
      <c r="B15" s="80"/>
      <c r="C15" s="81"/>
      <c r="D15" s="90"/>
      <c r="E15" s="83" t="s">
        <v>108</v>
      </c>
      <c r="F15" s="83" t="s">
        <v>109</v>
      </c>
      <c r="G15" s="84" t="s">
        <v>92</v>
      </c>
      <c r="H15" s="84" t="s">
        <v>99</v>
      </c>
      <c r="I15" s="85" t="s">
        <v>107</v>
      </c>
      <c r="J15" s="92"/>
      <c r="K15" s="93"/>
      <c r="L15" s="94"/>
      <c r="M15" s="95"/>
      <c r="N15" s="29"/>
      <c r="O15" s="29"/>
      <c r="P15" s="29"/>
      <c r="Q15" s="29"/>
      <c r="R15" s="29"/>
      <c r="S15" s="29"/>
      <c r="T15" s="29"/>
      <c r="U15" s="29"/>
      <c r="V15" s="29"/>
      <c r="W15" s="29"/>
      <c r="X15" s="29"/>
      <c r="Y15" s="29"/>
      <c r="Z15" s="29"/>
    </row>
    <row r="16" ht="29.25" customHeight="1">
      <c r="A16" s="79">
        <v>6.0</v>
      </c>
      <c r="B16" s="80"/>
      <c r="C16" s="81"/>
      <c r="D16" s="90"/>
      <c r="E16" s="83" t="s">
        <v>110</v>
      </c>
      <c r="F16" s="83" t="s">
        <v>111</v>
      </c>
      <c r="G16" s="84" t="s">
        <v>92</v>
      </c>
      <c r="H16" s="84" t="s">
        <v>99</v>
      </c>
      <c r="I16" s="85" t="s">
        <v>112</v>
      </c>
      <c r="J16" s="92"/>
      <c r="K16" s="93"/>
      <c r="L16" s="88" t="s">
        <v>95</v>
      </c>
      <c r="M16" s="95"/>
      <c r="N16" s="29"/>
      <c r="O16" s="29"/>
      <c r="P16" s="29"/>
      <c r="Q16" s="29"/>
      <c r="R16" s="29"/>
      <c r="S16" s="29"/>
      <c r="T16" s="29"/>
      <c r="U16" s="29"/>
      <c r="V16" s="29"/>
      <c r="W16" s="29"/>
      <c r="X16" s="29"/>
      <c r="Y16" s="29"/>
      <c r="Z16" s="29"/>
    </row>
    <row r="17" ht="17.25" customHeight="1">
      <c r="A17" s="79">
        <v>7.0</v>
      </c>
      <c r="B17" s="80"/>
      <c r="C17" s="81"/>
      <c r="D17" s="94"/>
      <c r="E17" s="83" t="s">
        <v>113</v>
      </c>
      <c r="F17" s="83" t="s">
        <v>114</v>
      </c>
      <c r="G17" s="84" t="s">
        <v>92</v>
      </c>
      <c r="H17" s="84" t="s">
        <v>99</v>
      </c>
      <c r="I17" s="85" t="s">
        <v>115</v>
      </c>
      <c r="J17" s="92"/>
      <c r="K17" s="93"/>
      <c r="L17" s="88" t="s">
        <v>95</v>
      </c>
      <c r="M17" s="95"/>
      <c r="N17" s="29"/>
      <c r="O17" s="29"/>
      <c r="P17" s="29"/>
      <c r="Q17" s="29"/>
      <c r="R17" s="29"/>
      <c r="S17" s="29"/>
      <c r="T17" s="29"/>
      <c r="U17" s="29"/>
      <c r="V17" s="29"/>
      <c r="W17" s="29"/>
      <c r="X17" s="29"/>
      <c r="Y17" s="29"/>
      <c r="Z17" s="29"/>
    </row>
    <row r="18" ht="16.5" customHeight="1">
      <c r="A18" s="79">
        <v>8.0</v>
      </c>
      <c r="B18" s="80"/>
      <c r="C18" s="81"/>
      <c r="D18" s="94"/>
      <c r="E18" s="83" t="s">
        <v>116</v>
      </c>
      <c r="F18" s="83" t="s">
        <v>117</v>
      </c>
      <c r="G18" s="84" t="s">
        <v>92</v>
      </c>
      <c r="H18" s="84" t="s">
        <v>99</v>
      </c>
      <c r="I18" s="85" t="s">
        <v>118</v>
      </c>
      <c r="J18" s="92"/>
      <c r="K18" s="93"/>
      <c r="L18" s="88" t="s">
        <v>95</v>
      </c>
      <c r="M18" s="95"/>
      <c r="N18" s="29"/>
      <c r="O18" s="29"/>
      <c r="P18" s="29"/>
      <c r="Q18" s="29"/>
      <c r="R18" s="29"/>
      <c r="S18" s="29"/>
      <c r="T18" s="29"/>
      <c r="U18" s="29"/>
      <c r="V18" s="29"/>
      <c r="W18" s="29"/>
      <c r="X18" s="29"/>
      <c r="Y18" s="29"/>
      <c r="Z18" s="29"/>
    </row>
    <row r="19" ht="28.5" customHeight="1">
      <c r="A19" s="79">
        <v>9.0</v>
      </c>
      <c r="B19" s="80"/>
      <c r="C19" s="81"/>
      <c r="D19" s="94"/>
      <c r="E19" s="83" t="s">
        <v>119</v>
      </c>
      <c r="F19" s="83" t="s">
        <v>120</v>
      </c>
      <c r="G19" s="84" t="s">
        <v>92</v>
      </c>
      <c r="H19" s="84" t="s">
        <v>99</v>
      </c>
      <c r="I19" s="85" t="s">
        <v>121</v>
      </c>
      <c r="J19" s="96"/>
      <c r="K19" s="93"/>
      <c r="L19" s="88" t="s">
        <v>95</v>
      </c>
      <c r="M19" s="95"/>
      <c r="N19" s="29"/>
      <c r="O19" s="29"/>
      <c r="P19" s="29"/>
      <c r="Q19" s="29"/>
      <c r="R19" s="29"/>
      <c r="S19" s="29"/>
      <c r="T19" s="29"/>
      <c r="U19" s="29"/>
      <c r="V19" s="29"/>
      <c r="W19" s="29"/>
      <c r="X19" s="29"/>
      <c r="Y19" s="29"/>
      <c r="Z19" s="29"/>
    </row>
    <row r="20" ht="28.5" customHeight="1">
      <c r="A20" s="79">
        <v>10.0</v>
      </c>
      <c r="B20" s="80"/>
      <c r="C20" s="81"/>
      <c r="D20" s="97"/>
      <c r="E20" s="83" t="s">
        <v>122</v>
      </c>
      <c r="F20" s="83" t="s">
        <v>123</v>
      </c>
      <c r="G20" s="84" t="s">
        <v>92</v>
      </c>
      <c r="H20" s="84" t="s">
        <v>99</v>
      </c>
      <c r="I20" s="85" t="s">
        <v>121</v>
      </c>
      <c r="J20" s="96"/>
      <c r="K20" s="93"/>
      <c r="L20" s="88" t="s">
        <v>95</v>
      </c>
      <c r="M20" s="95"/>
      <c r="N20" s="29"/>
      <c r="O20" s="29"/>
      <c r="P20" s="29"/>
      <c r="Q20" s="29"/>
      <c r="R20" s="29"/>
      <c r="S20" s="29"/>
      <c r="T20" s="29"/>
      <c r="U20" s="29"/>
      <c r="V20" s="29"/>
      <c r="W20" s="29"/>
      <c r="X20" s="29"/>
      <c r="Y20" s="29"/>
      <c r="Z20" s="29"/>
    </row>
    <row r="21" ht="27.75" customHeight="1">
      <c r="A21" s="79">
        <v>11.0</v>
      </c>
      <c r="B21" s="80"/>
      <c r="C21" s="81"/>
      <c r="D21" s="98"/>
      <c r="E21" s="83" t="s">
        <v>124</v>
      </c>
      <c r="F21" s="83" t="s">
        <v>125</v>
      </c>
      <c r="G21" s="84" t="s">
        <v>92</v>
      </c>
      <c r="H21" s="84" t="s">
        <v>99</v>
      </c>
      <c r="I21" s="85" t="s">
        <v>121</v>
      </c>
      <c r="J21" s="96"/>
      <c r="K21" s="93"/>
      <c r="L21" s="88" t="s">
        <v>95</v>
      </c>
      <c r="M21" s="95"/>
      <c r="N21" s="29"/>
      <c r="O21" s="29"/>
      <c r="P21" s="29"/>
      <c r="Q21" s="29"/>
      <c r="R21" s="29"/>
      <c r="S21" s="29"/>
      <c r="T21" s="29"/>
      <c r="U21" s="29"/>
      <c r="V21" s="29"/>
      <c r="W21" s="29"/>
      <c r="X21" s="29"/>
      <c r="Y21" s="29"/>
      <c r="Z21" s="29"/>
    </row>
    <row r="22" ht="28.5" customHeight="1">
      <c r="A22" s="79">
        <v>12.0</v>
      </c>
      <c r="B22" s="80"/>
      <c r="C22" s="81"/>
      <c r="D22" s="98"/>
      <c r="E22" s="83" t="s">
        <v>126</v>
      </c>
      <c r="F22" s="83" t="s">
        <v>127</v>
      </c>
      <c r="G22" s="84" t="s">
        <v>92</v>
      </c>
      <c r="H22" s="84" t="s">
        <v>99</v>
      </c>
      <c r="I22" s="85" t="s">
        <v>121</v>
      </c>
      <c r="J22" s="96"/>
      <c r="K22" s="93"/>
      <c r="L22" s="88" t="s">
        <v>95</v>
      </c>
      <c r="M22" s="95"/>
      <c r="N22" s="29"/>
      <c r="O22" s="29"/>
      <c r="P22" s="29"/>
      <c r="Q22" s="29"/>
      <c r="R22" s="29"/>
      <c r="S22" s="29"/>
      <c r="T22" s="29"/>
      <c r="U22" s="29"/>
      <c r="V22" s="29"/>
      <c r="W22" s="29"/>
      <c r="X22" s="29"/>
      <c r="Y22" s="29"/>
      <c r="Z22" s="29"/>
    </row>
    <row r="23" ht="18.0" customHeight="1">
      <c r="A23" s="79">
        <v>13.0</v>
      </c>
      <c r="B23" s="80"/>
      <c r="C23" s="81"/>
      <c r="D23" s="98"/>
      <c r="E23" s="83" t="s">
        <v>128</v>
      </c>
      <c r="F23" s="83" t="s">
        <v>129</v>
      </c>
      <c r="G23" s="84" t="s">
        <v>92</v>
      </c>
      <c r="H23" s="84" t="s">
        <v>99</v>
      </c>
      <c r="I23" s="85" t="s">
        <v>121</v>
      </c>
      <c r="J23" s="96"/>
      <c r="K23" s="93"/>
      <c r="L23" s="88" t="s">
        <v>95</v>
      </c>
      <c r="M23" s="95"/>
      <c r="N23" s="29"/>
      <c r="O23" s="29"/>
      <c r="P23" s="29"/>
      <c r="Q23" s="29"/>
      <c r="R23" s="29"/>
      <c r="S23" s="29"/>
      <c r="T23" s="29"/>
      <c r="U23" s="29"/>
      <c r="V23" s="29"/>
      <c r="W23" s="29"/>
      <c r="X23" s="29"/>
      <c r="Y23" s="29"/>
      <c r="Z23" s="29"/>
    </row>
    <row r="24" ht="28.5" customHeight="1">
      <c r="A24" s="79">
        <v>14.0</v>
      </c>
      <c r="B24" s="80"/>
      <c r="C24" s="81"/>
      <c r="D24" s="98"/>
      <c r="E24" s="83" t="s">
        <v>130</v>
      </c>
      <c r="F24" s="83" t="s">
        <v>131</v>
      </c>
      <c r="G24" s="84" t="s">
        <v>92</v>
      </c>
      <c r="H24" s="84" t="s">
        <v>99</v>
      </c>
      <c r="I24" s="85" t="s">
        <v>121</v>
      </c>
      <c r="J24" s="96"/>
      <c r="K24" s="93"/>
      <c r="L24" s="88" t="s">
        <v>95</v>
      </c>
      <c r="M24" s="95"/>
      <c r="N24" s="29"/>
      <c r="O24" s="29"/>
      <c r="P24" s="29"/>
      <c r="Q24" s="29"/>
      <c r="R24" s="29"/>
      <c r="S24" s="29"/>
      <c r="T24" s="29"/>
      <c r="U24" s="29"/>
      <c r="V24" s="29"/>
      <c r="W24" s="29"/>
      <c r="X24" s="29"/>
      <c r="Y24" s="29"/>
      <c r="Z24" s="29"/>
    </row>
    <row r="25" ht="17.25" customHeight="1">
      <c r="A25" s="79">
        <v>15.0</v>
      </c>
      <c r="B25" s="80"/>
      <c r="C25" s="81"/>
      <c r="D25" s="98"/>
      <c r="E25" s="83" t="s">
        <v>132</v>
      </c>
      <c r="F25" s="83" t="s">
        <v>133</v>
      </c>
      <c r="G25" s="84" t="s">
        <v>92</v>
      </c>
      <c r="H25" s="84" t="s">
        <v>99</v>
      </c>
      <c r="I25" s="85" t="s">
        <v>121</v>
      </c>
      <c r="J25" s="96"/>
      <c r="K25" s="93"/>
      <c r="L25" s="88" t="s">
        <v>95</v>
      </c>
      <c r="M25" s="95"/>
      <c r="N25" s="29"/>
      <c r="O25" s="29"/>
      <c r="P25" s="29"/>
      <c r="Q25" s="29"/>
      <c r="R25" s="29"/>
      <c r="S25" s="29"/>
      <c r="T25" s="29"/>
      <c r="U25" s="29"/>
      <c r="V25" s="29"/>
      <c r="W25" s="29"/>
      <c r="X25" s="29"/>
      <c r="Y25" s="29"/>
      <c r="Z25" s="29"/>
    </row>
    <row r="26" ht="28.5" customHeight="1">
      <c r="A26" s="79">
        <v>16.0</v>
      </c>
      <c r="B26" s="80"/>
      <c r="C26" s="81"/>
      <c r="D26" s="98"/>
      <c r="E26" s="83" t="s">
        <v>134</v>
      </c>
      <c r="F26" s="83" t="s">
        <v>135</v>
      </c>
      <c r="G26" s="84" t="s">
        <v>92</v>
      </c>
      <c r="H26" s="84" t="s">
        <v>99</v>
      </c>
      <c r="I26" s="85" t="s">
        <v>121</v>
      </c>
      <c r="J26" s="96"/>
      <c r="K26" s="93"/>
      <c r="L26" s="88" t="s">
        <v>95</v>
      </c>
      <c r="M26" s="95"/>
      <c r="N26" s="29"/>
      <c r="O26" s="29"/>
      <c r="P26" s="29"/>
      <c r="Q26" s="29"/>
      <c r="R26" s="29"/>
      <c r="S26" s="29"/>
      <c r="T26" s="29"/>
      <c r="U26" s="29"/>
      <c r="V26" s="29"/>
      <c r="W26" s="29"/>
      <c r="X26" s="29"/>
      <c r="Y26" s="29"/>
      <c r="Z26" s="29"/>
    </row>
    <row r="27" ht="29.25" customHeight="1">
      <c r="A27" s="79">
        <v>17.0</v>
      </c>
      <c r="B27" s="80"/>
      <c r="C27" s="81"/>
      <c r="D27" s="98"/>
      <c r="E27" s="83" t="s">
        <v>136</v>
      </c>
      <c r="F27" s="83" t="s">
        <v>137</v>
      </c>
      <c r="G27" s="84" t="s">
        <v>92</v>
      </c>
      <c r="H27" s="84" t="s">
        <v>99</v>
      </c>
      <c r="I27" s="85" t="s">
        <v>121</v>
      </c>
      <c r="J27" s="96"/>
      <c r="K27" s="93"/>
      <c r="L27" s="88" t="s">
        <v>95</v>
      </c>
      <c r="M27" s="95"/>
      <c r="N27" s="29"/>
      <c r="O27" s="29"/>
      <c r="P27" s="29"/>
      <c r="Q27" s="29"/>
      <c r="R27" s="29"/>
      <c r="S27" s="29"/>
      <c r="T27" s="29"/>
      <c r="U27" s="29"/>
      <c r="V27" s="29"/>
      <c r="W27" s="29"/>
      <c r="X27" s="29"/>
      <c r="Y27" s="29"/>
      <c r="Z27" s="29"/>
    </row>
    <row r="28" ht="29.25" customHeight="1">
      <c r="A28" s="79">
        <v>18.0</v>
      </c>
      <c r="B28" s="80"/>
      <c r="C28" s="81"/>
      <c r="D28" s="98"/>
      <c r="E28" s="83" t="s">
        <v>138</v>
      </c>
      <c r="F28" s="83" t="s">
        <v>139</v>
      </c>
      <c r="G28" s="84" t="s">
        <v>92</v>
      </c>
      <c r="H28" s="84" t="s">
        <v>99</v>
      </c>
      <c r="I28" s="85" t="s">
        <v>121</v>
      </c>
      <c r="J28" s="96"/>
      <c r="K28" s="93"/>
      <c r="L28" s="88" t="s">
        <v>95</v>
      </c>
      <c r="M28" s="95"/>
      <c r="N28" s="29"/>
      <c r="O28" s="29"/>
      <c r="P28" s="29"/>
      <c r="Q28" s="29"/>
      <c r="R28" s="29"/>
      <c r="S28" s="29"/>
      <c r="T28" s="29"/>
      <c r="U28" s="29"/>
      <c r="V28" s="29"/>
      <c r="W28" s="29"/>
      <c r="X28" s="29"/>
      <c r="Y28" s="29"/>
      <c r="Z28" s="29"/>
    </row>
    <row r="29" ht="28.5" customHeight="1">
      <c r="A29" s="79">
        <v>19.0</v>
      </c>
      <c r="B29" s="80"/>
      <c r="C29" s="81"/>
      <c r="D29" s="98"/>
      <c r="E29" s="83" t="s">
        <v>140</v>
      </c>
      <c r="F29" s="83" t="s">
        <v>139</v>
      </c>
      <c r="G29" s="84" t="s">
        <v>92</v>
      </c>
      <c r="H29" s="84" t="s">
        <v>99</v>
      </c>
      <c r="I29" s="85" t="s">
        <v>121</v>
      </c>
      <c r="J29" s="96"/>
      <c r="K29" s="93"/>
      <c r="L29" s="88" t="s">
        <v>95</v>
      </c>
      <c r="M29" s="95"/>
      <c r="N29" s="29"/>
      <c r="O29" s="29"/>
      <c r="P29" s="29"/>
      <c r="Q29" s="29"/>
      <c r="R29" s="29"/>
      <c r="S29" s="29"/>
      <c r="T29" s="29"/>
      <c r="U29" s="29"/>
      <c r="V29" s="29"/>
      <c r="W29" s="29"/>
      <c r="X29" s="29"/>
      <c r="Y29" s="29"/>
      <c r="Z29" s="29"/>
    </row>
    <row r="30" ht="27.75" customHeight="1">
      <c r="A30" s="79">
        <v>20.0</v>
      </c>
      <c r="B30" s="80"/>
      <c r="C30" s="81"/>
      <c r="D30" s="98"/>
      <c r="E30" s="83" t="s">
        <v>141</v>
      </c>
      <c r="F30" s="83" t="s">
        <v>142</v>
      </c>
      <c r="G30" s="84" t="s">
        <v>92</v>
      </c>
      <c r="H30" s="84" t="s">
        <v>99</v>
      </c>
      <c r="I30" s="85" t="s">
        <v>121</v>
      </c>
      <c r="J30" s="96"/>
      <c r="K30" s="93"/>
      <c r="L30" s="88" t="s">
        <v>95</v>
      </c>
      <c r="M30" s="95"/>
      <c r="N30" s="29"/>
      <c r="O30" s="29"/>
      <c r="P30" s="29"/>
      <c r="Q30" s="29"/>
      <c r="R30" s="29"/>
      <c r="S30" s="29"/>
      <c r="T30" s="29"/>
      <c r="U30" s="29"/>
      <c r="V30" s="29"/>
      <c r="W30" s="29"/>
      <c r="X30" s="29"/>
      <c r="Y30" s="29"/>
      <c r="Z30" s="29"/>
    </row>
    <row r="31" ht="29.25" customHeight="1">
      <c r="A31" s="79">
        <v>21.0</v>
      </c>
      <c r="B31" s="80"/>
      <c r="C31" s="81"/>
      <c r="D31" s="98"/>
      <c r="E31" s="83" t="s">
        <v>143</v>
      </c>
      <c r="F31" s="83" t="s">
        <v>144</v>
      </c>
      <c r="G31" s="84" t="s">
        <v>92</v>
      </c>
      <c r="H31" s="84" t="s">
        <v>99</v>
      </c>
      <c r="I31" s="85" t="s">
        <v>121</v>
      </c>
      <c r="J31" s="96"/>
      <c r="K31" s="93"/>
      <c r="L31" s="88" t="s">
        <v>95</v>
      </c>
      <c r="M31" s="95"/>
      <c r="N31" s="29"/>
      <c r="O31" s="29"/>
      <c r="P31" s="29"/>
      <c r="Q31" s="29"/>
      <c r="R31" s="29"/>
      <c r="S31" s="29"/>
      <c r="T31" s="29"/>
      <c r="U31" s="29"/>
      <c r="V31" s="29"/>
      <c r="W31" s="29"/>
      <c r="X31" s="29"/>
      <c r="Y31" s="29"/>
      <c r="Z31" s="29"/>
    </row>
    <row r="32" ht="29.25" customHeight="1">
      <c r="A32" s="79">
        <v>22.0</v>
      </c>
      <c r="B32" s="80"/>
      <c r="C32" s="81"/>
      <c r="D32" s="98"/>
      <c r="E32" s="83" t="s">
        <v>145</v>
      </c>
      <c r="F32" s="83" t="s">
        <v>146</v>
      </c>
      <c r="G32" s="84" t="s">
        <v>92</v>
      </c>
      <c r="H32" s="84" t="s">
        <v>99</v>
      </c>
      <c r="I32" s="85" t="s">
        <v>121</v>
      </c>
      <c r="J32" s="96"/>
      <c r="K32" s="93"/>
      <c r="L32" s="88" t="s">
        <v>95</v>
      </c>
      <c r="M32" s="95"/>
      <c r="N32" s="29"/>
      <c r="O32" s="29"/>
      <c r="P32" s="29"/>
      <c r="Q32" s="29"/>
      <c r="R32" s="29"/>
      <c r="S32" s="29"/>
      <c r="T32" s="29"/>
      <c r="U32" s="29"/>
      <c r="V32" s="29"/>
      <c r="W32" s="29"/>
      <c r="X32" s="29"/>
      <c r="Y32" s="29"/>
      <c r="Z32" s="29"/>
    </row>
    <row r="33" ht="30.0" customHeight="1">
      <c r="A33" s="79">
        <v>23.0</v>
      </c>
      <c r="B33" s="80"/>
      <c r="C33" s="81"/>
      <c r="D33" s="98"/>
      <c r="E33" s="83" t="s">
        <v>147</v>
      </c>
      <c r="F33" s="83" t="s">
        <v>148</v>
      </c>
      <c r="G33" s="84" t="s">
        <v>92</v>
      </c>
      <c r="H33" s="84" t="s">
        <v>99</v>
      </c>
      <c r="I33" s="85" t="s">
        <v>121</v>
      </c>
      <c r="J33" s="96"/>
      <c r="K33" s="93"/>
      <c r="L33" s="88" t="s">
        <v>95</v>
      </c>
      <c r="M33" s="95"/>
      <c r="N33" s="29"/>
      <c r="O33" s="29"/>
      <c r="P33" s="29"/>
      <c r="Q33" s="29"/>
      <c r="R33" s="29"/>
      <c r="S33" s="29"/>
      <c r="T33" s="29"/>
      <c r="U33" s="29"/>
      <c r="V33" s="29"/>
      <c r="W33" s="29"/>
      <c r="X33" s="29"/>
      <c r="Y33" s="29"/>
      <c r="Z33" s="29"/>
    </row>
    <row r="34" ht="28.5" customHeight="1">
      <c r="A34" s="79">
        <v>24.0</v>
      </c>
      <c r="B34" s="80"/>
      <c r="C34" s="81"/>
      <c r="D34" s="98"/>
      <c r="E34" s="83" t="s">
        <v>149</v>
      </c>
      <c r="F34" s="83" t="s">
        <v>150</v>
      </c>
      <c r="G34" s="84" t="s">
        <v>92</v>
      </c>
      <c r="H34" s="84" t="s">
        <v>99</v>
      </c>
      <c r="I34" s="85" t="s">
        <v>121</v>
      </c>
      <c r="J34" s="96"/>
      <c r="K34" s="93"/>
      <c r="L34" s="88" t="s">
        <v>95</v>
      </c>
      <c r="M34" s="95"/>
      <c r="N34" s="29"/>
      <c r="O34" s="29"/>
      <c r="P34" s="29"/>
      <c r="Q34" s="29"/>
      <c r="R34" s="29"/>
      <c r="S34" s="29"/>
      <c r="T34" s="29"/>
      <c r="U34" s="29"/>
      <c r="V34" s="29"/>
      <c r="W34" s="29"/>
      <c r="X34" s="29"/>
      <c r="Y34" s="29"/>
      <c r="Z34" s="29"/>
    </row>
    <row r="35" ht="40.5" customHeight="1">
      <c r="A35" s="79">
        <v>25.0</v>
      </c>
      <c r="B35" s="80"/>
      <c r="C35" s="81"/>
      <c r="D35" s="98"/>
      <c r="E35" s="83" t="s">
        <v>151</v>
      </c>
      <c r="F35" s="83" t="s">
        <v>152</v>
      </c>
      <c r="G35" s="84" t="s">
        <v>92</v>
      </c>
      <c r="H35" s="84" t="s">
        <v>99</v>
      </c>
      <c r="I35" s="85" t="s">
        <v>121</v>
      </c>
      <c r="J35" s="96"/>
      <c r="K35" s="93"/>
      <c r="L35" s="88" t="s">
        <v>95</v>
      </c>
      <c r="M35" s="95"/>
      <c r="N35" s="29"/>
      <c r="O35" s="29"/>
      <c r="P35" s="29"/>
      <c r="Q35" s="29"/>
      <c r="R35" s="29"/>
      <c r="S35" s="29"/>
      <c r="T35" s="29"/>
      <c r="U35" s="29"/>
      <c r="V35" s="29"/>
      <c r="W35" s="29"/>
      <c r="X35" s="29"/>
      <c r="Y35" s="29"/>
      <c r="Z35" s="29"/>
    </row>
    <row r="36" ht="40.5" customHeight="1">
      <c r="A36" s="79">
        <v>26.0</v>
      </c>
      <c r="B36" s="80"/>
      <c r="C36" s="81"/>
      <c r="D36" s="98"/>
      <c r="E36" s="83" t="s">
        <v>153</v>
      </c>
      <c r="F36" s="83" t="s">
        <v>154</v>
      </c>
      <c r="G36" s="84" t="s">
        <v>92</v>
      </c>
      <c r="H36" s="84" t="s">
        <v>99</v>
      </c>
      <c r="I36" s="85" t="s">
        <v>121</v>
      </c>
      <c r="J36" s="96"/>
      <c r="K36" s="93"/>
      <c r="L36" s="88" t="s">
        <v>95</v>
      </c>
      <c r="M36" s="95"/>
      <c r="N36" s="29"/>
      <c r="O36" s="29"/>
      <c r="P36" s="29"/>
      <c r="Q36" s="29"/>
      <c r="R36" s="29"/>
      <c r="S36" s="29"/>
      <c r="T36" s="29"/>
      <c r="U36" s="29"/>
      <c r="V36" s="29"/>
      <c r="W36" s="29"/>
      <c r="X36" s="29"/>
      <c r="Y36" s="29"/>
      <c r="Z36" s="29"/>
    </row>
    <row r="37" ht="40.5" customHeight="1">
      <c r="A37" s="79">
        <v>27.0</v>
      </c>
      <c r="B37" s="80"/>
      <c r="C37" s="81"/>
      <c r="D37" s="99"/>
      <c r="E37" s="83" t="s">
        <v>155</v>
      </c>
      <c r="F37" s="83" t="s">
        <v>156</v>
      </c>
      <c r="G37" s="84" t="s">
        <v>92</v>
      </c>
      <c r="H37" s="84" t="s">
        <v>99</v>
      </c>
      <c r="I37" s="85" t="s">
        <v>121</v>
      </c>
      <c r="J37" s="96"/>
      <c r="K37" s="93"/>
      <c r="L37" s="88" t="s">
        <v>95</v>
      </c>
      <c r="M37" s="95"/>
      <c r="N37" s="29"/>
      <c r="O37" s="29"/>
      <c r="P37" s="29"/>
      <c r="Q37" s="29"/>
      <c r="R37" s="29"/>
      <c r="S37" s="29"/>
      <c r="T37" s="29"/>
      <c r="U37" s="29"/>
      <c r="V37" s="29"/>
      <c r="W37" s="29"/>
      <c r="X37" s="29"/>
      <c r="Y37" s="29"/>
      <c r="Z37" s="29"/>
    </row>
    <row r="38" ht="17.25" customHeight="1">
      <c r="A38" s="79">
        <v>28.0</v>
      </c>
      <c r="B38" s="80"/>
      <c r="C38" s="81"/>
      <c r="D38" s="100"/>
      <c r="E38" s="91" t="s">
        <v>157</v>
      </c>
      <c r="F38" s="91" t="s">
        <v>158</v>
      </c>
      <c r="G38" s="101" t="s">
        <v>92</v>
      </c>
      <c r="H38" s="101" t="s">
        <v>99</v>
      </c>
      <c r="I38" s="102" t="s">
        <v>159</v>
      </c>
      <c r="J38" s="103"/>
      <c r="K38" s="104"/>
      <c r="L38" s="88" t="s">
        <v>95</v>
      </c>
      <c r="M38" s="105"/>
      <c r="N38" s="29"/>
      <c r="O38" s="29"/>
      <c r="P38" s="29"/>
      <c r="Q38" s="29"/>
      <c r="R38" s="29"/>
      <c r="S38" s="29"/>
      <c r="T38" s="29"/>
      <c r="U38" s="29"/>
      <c r="V38" s="29"/>
      <c r="W38" s="29"/>
      <c r="X38" s="29"/>
      <c r="Y38" s="29"/>
      <c r="Z38" s="29"/>
    </row>
    <row r="39" ht="27.75" customHeight="1">
      <c r="A39" s="79">
        <v>29.0</v>
      </c>
      <c r="B39" s="80"/>
      <c r="C39" s="81"/>
      <c r="D39" s="90"/>
      <c r="E39" s="91" t="s">
        <v>160</v>
      </c>
      <c r="F39" s="83" t="s">
        <v>161</v>
      </c>
      <c r="G39" s="101" t="s">
        <v>92</v>
      </c>
      <c r="H39" s="101" t="s">
        <v>162</v>
      </c>
      <c r="I39" s="102" t="s">
        <v>163</v>
      </c>
      <c r="J39" s="103"/>
      <c r="K39" s="104"/>
      <c r="L39" s="88" t="s">
        <v>95</v>
      </c>
      <c r="M39" s="105"/>
      <c r="N39" s="29"/>
      <c r="O39" s="29"/>
      <c r="P39" s="29"/>
      <c r="Q39" s="29"/>
      <c r="R39" s="29"/>
      <c r="S39" s="29"/>
      <c r="T39" s="29"/>
      <c r="U39" s="29"/>
      <c r="V39" s="29"/>
      <c r="W39" s="29"/>
      <c r="X39" s="29"/>
      <c r="Y39" s="29"/>
      <c r="Z39" s="29"/>
    </row>
    <row r="40" ht="28.5" customHeight="1">
      <c r="A40" s="79">
        <v>30.0</v>
      </c>
      <c r="B40" s="80"/>
      <c r="C40" s="81"/>
      <c r="D40" s="90"/>
      <c r="E40" s="91" t="s">
        <v>164</v>
      </c>
      <c r="F40" s="83" t="s">
        <v>165</v>
      </c>
      <c r="G40" s="101" t="s">
        <v>92</v>
      </c>
      <c r="H40" s="101" t="s">
        <v>166</v>
      </c>
      <c r="I40" s="102" t="s">
        <v>163</v>
      </c>
      <c r="J40" s="106"/>
      <c r="K40" s="104"/>
      <c r="L40" s="88" t="s">
        <v>95</v>
      </c>
      <c r="M40" s="105"/>
      <c r="N40" s="29"/>
      <c r="O40" s="29"/>
      <c r="P40" s="29"/>
      <c r="Q40" s="29"/>
      <c r="R40" s="29"/>
      <c r="S40" s="29"/>
      <c r="T40" s="29"/>
      <c r="U40" s="29"/>
      <c r="V40" s="29"/>
      <c r="W40" s="29"/>
      <c r="X40" s="29"/>
      <c r="Y40" s="29"/>
      <c r="Z40" s="29"/>
    </row>
    <row r="41" ht="28.5" customHeight="1">
      <c r="A41" s="79">
        <v>31.0</v>
      </c>
      <c r="B41" s="80"/>
      <c r="C41" s="81"/>
      <c r="D41" s="90"/>
      <c r="E41" s="91" t="s">
        <v>167</v>
      </c>
      <c r="F41" s="83" t="s">
        <v>168</v>
      </c>
      <c r="G41" s="101" t="s">
        <v>169</v>
      </c>
      <c r="H41" s="101" t="s">
        <v>170</v>
      </c>
      <c r="I41" s="102" t="s">
        <v>163</v>
      </c>
      <c r="J41" s="107" t="s">
        <v>171</v>
      </c>
      <c r="K41" s="104"/>
      <c r="L41" s="88" t="s">
        <v>101</v>
      </c>
      <c r="M41" s="105"/>
      <c r="N41" s="29"/>
      <c r="O41" s="29"/>
      <c r="P41" s="29"/>
      <c r="Q41" s="29"/>
      <c r="R41" s="29"/>
      <c r="S41" s="29"/>
      <c r="T41" s="29"/>
      <c r="U41" s="29"/>
      <c r="V41" s="29"/>
      <c r="W41" s="29"/>
      <c r="X41" s="29"/>
      <c r="Y41" s="29"/>
      <c r="Z41" s="29"/>
    </row>
    <row r="42" ht="28.5" customHeight="1">
      <c r="A42" s="79">
        <v>32.0</v>
      </c>
      <c r="B42" s="80"/>
      <c r="C42" s="81"/>
      <c r="D42" s="90"/>
      <c r="E42" s="91" t="s">
        <v>172</v>
      </c>
      <c r="F42" s="83" t="s">
        <v>173</v>
      </c>
      <c r="G42" s="101" t="s">
        <v>169</v>
      </c>
      <c r="H42" s="101" t="s">
        <v>174</v>
      </c>
      <c r="I42" s="102" t="s">
        <v>163</v>
      </c>
      <c r="J42" s="107" t="s">
        <v>175</v>
      </c>
      <c r="K42" s="104"/>
      <c r="L42" s="88" t="s">
        <v>101</v>
      </c>
      <c r="M42" s="105"/>
      <c r="N42" s="29"/>
      <c r="O42" s="29"/>
      <c r="P42" s="29"/>
      <c r="Q42" s="29"/>
      <c r="R42" s="29"/>
      <c r="S42" s="29"/>
      <c r="T42" s="29"/>
      <c r="U42" s="29"/>
      <c r="V42" s="29"/>
      <c r="W42" s="29"/>
      <c r="X42" s="29"/>
      <c r="Y42" s="29"/>
      <c r="Z42" s="29"/>
    </row>
    <row r="43" ht="27.75" customHeight="1">
      <c r="A43" s="79">
        <v>33.0</v>
      </c>
      <c r="B43" s="80"/>
      <c r="C43" s="81"/>
      <c r="D43" s="90"/>
      <c r="E43" s="91" t="s">
        <v>176</v>
      </c>
      <c r="F43" s="83" t="s">
        <v>177</v>
      </c>
      <c r="G43" s="101" t="s">
        <v>169</v>
      </c>
      <c r="H43" s="101" t="s">
        <v>178</v>
      </c>
      <c r="I43" s="102" t="s">
        <v>163</v>
      </c>
      <c r="J43" s="107" t="s">
        <v>179</v>
      </c>
      <c r="K43" s="104"/>
      <c r="L43" s="88" t="s">
        <v>101</v>
      </c>
      <c r="M43" s="105"/>
      <c r="N43" s="29"/>
      <c r="O43" s="29"/>
      <c r="P43" s="29"/>
      <c r="Q43" s="29"/>
      <c r="R43" s="29"/>
      <c r="S43" s="29"/>
      <c r="T43" s="29"/>
      <c r="U43" s="29"/>
      <c r="V43" s="29"/>
      <c r="W43" s="29"/>
      <c r="X43" s="29"/>
      <c r="Y43" s="29"/>
      <c r="Z43" s="29"/>
    </row>
    <row r="44" ht="27.75" customHeight="1">
      <c r="A44" s="79">
        <v>34.0</v>
      </c>
      <c r="B44" s="80"/>
      <c r="C44" s="81"/>
      <c r="D44" s="90"/>
      <c r="E44" s="91" t="s">
        <v>180</v>
      </c>
      <c r="F44" s="83" t="s">
        <v>161</v>
      </c>
      <c r="G44" s="101" t="s">
        <v>181</v>
      </c>
      <c r="H44" s="101" t="s">
        <v>182</v>
      </c>
      <c r="I44" s="102" t="s">
        <v>163</v>
      </c>
      <c r="J44" s="106"/>
      <c r="K44" s="104"/>
      <c r="L44" s="88" t="s">
        <v>95</v>
      </c>
      <c r="M44" s="105"/>
      <c r="N44" s="29"/>
      <c r="O44" s="29"/>
      <c r="P44" s="29"/>
      <c r="Q44" s="29"/>
      <c r="R44" s="29"/>
      <c r="S44" s="29"/>
      <c r="T44" s="29"/>
      <c r="U44" s="29"/>
      <c r="V44" s="29"/>
      <c r="W44" s="29"/>
      <c r="X44" s="29"/>
      <c r="Y44" s="29"/>
      <c r="Z44" s="29"/>
    </row>
    <row r="45">
      <c r="A45" s="70"/>
      <c r="B45" s="71"/>
      <c r="C45" s="72"/>
      <c r="D45" s="73"/>
      <c r="E45" s="108"/>
      <c r="F45" s="108"/>
      <c r="G45" s="109"/>
      <c r="H45" s="109"/>
      <c r="I45" s="110"/>
      <c r="J45" s="111"/>
      <c r="K45" s="112"/>
      <c r="L45" s="71"/>
      <c r="M45" s="113"/>
      <c r="N45" s="29"/>
      <c r="O45" s="29"/>
      <c r="P45" s="29"/>
      <c r="Q45" s="29"/>
      <c r="R45" s="29"/>
      <c r="S45" s="29"/>
      <c r="T45" s="29"/>
      <c r="U45" s="29"/>
      <c r="V45" s="29"/>
      <c r="W45" s="29"/>
      <c r="X45" s="29"/>
      <c r="Y45" s="29"/>
      <c r="Z45" s="29"/>
    </row>
    <row r="46" ht="28.5" customHeight="1">
      <c r="A46" s="79">
        <v>35.0</v>
      </c>
      <c r="B46" s="80"/>
      <c r="C46" s="81"/>
      <c r="D46" s="82" t="s">
        <v>183</v>
      </c>
      <c r="E46" s="91" t="s">
        <v>184</v>
      </c>
      <c r="F46" s="83" t="s">
        <v>161</v>
      </c>
      <c r="G46" s="101" t="s">
        <v>181</v>
      </c>
      <c r="H46" s="101" t="s">
        <v>185</v>
      </c>
      <c r="I46" s="102" t="s">
        <v>163</v>
      </c>
      <c r="J46" s="106"/>
      <c r="K46" s="104"/>
      <c r="L46" s="88" t="s">
        <v>95</v>
      </c>
      <c r="M46" s="105"/>
      <c r="N46" s="29"/>
      <c r="O46" s="29"/>
      <c r="P46" s="29"/>
      <c r="Q46" s="29"/>
      <c r="R46" s="29"/>
      <c r="S46" s="29"/>
      <c r="T46" s="29"/>
      <c r="U46" s="29"/>
      <c r="V46" s="29"/>
      <c r="W46" s="29"/>
      <c r="X46" s="29"/>
      <c r="Y46" s="29"/>
      <c r="Z46" s="29"/>
    </row>
    <row r="47" ht="29.25" customHeight="1">
      <c r="A47" s="79">
        <v>36.0</v>
      </c>
      <c r="B47" s="80"/>
      <c r="C47" s="81"/>
      <c r="D47" s="82" t="s">
        <v>183</v>
      </c>
      <c r="E47" s="91" t="s">
        <v>186</v>
      </c>
      <c r="F47" s="83" t="s">
        <v>187</v>
      </c>
      <c r="G47" s="101" t="s">
        <v>188</v>
      </c>
      <c r="H47" s="101" t="s">
        <v>189</v>
      </c>
      <c r="I47" s="102" t="s">
        <v>163</v>
      </c>
      <c r="J47" s="114" t="s">
        <v>190</v>
      </c>
      <c r="K47" s="104"/>
      <c r="L47" s="88" t="s">
        <v>101</v>
      </c>
      <c r="M47" s="105"/>
      <c r="N47" s="29"/>
      <c r="O47" s="29"/>
      <c r="P47" s="29"/>
      <c r="Q47" s="29"/>
      <c r="R47" s="29"/>
      <c r="S47" s="29"/>
      <c r="T47" s="29"/>
      <c r="U47" s="29"/>
      <c r="V47" s="29"/>
      <c r="W47" s="29"/>
      <c r="X47" s="29"/>
      <c r="Y47" s="29"/>
      <c r="Z47" s="29"/>
    </row>
    <row r="48" ht="28.5" customHeight="1">
      <c r="A48" s="79">
        <v>37.0</v>
      </c>
      <c r="B48" s="80"/>
      <c r="C48" s="81"/>
      <c r="D48" s="90"/>
      <c r="E48" s="91" t="s">
        <v>191</v>
      </c>
      <c r="F48" s="83" t="s">
        <v>192</v>
      </c>
      <c r="G48" s="101" t="s">
        <v>181</v>
      </c>
      <c r="H48" s="101" t="s">
        <v>193</v>
      </c>
      <c r="I48" s="102" t="s">
        <v>163</v>
      </c>
      <c r="J48" s="103"/>
      <c r="K48" s="104"/>
      <c r="L48" s="88" t="s">
        <v>95</v>
      </c>
      <c r="M48" s="105"/>
      <c r="N48" s="29"/>
      <c r="O48" s="29"/>
      <c r="P48" s="29"/>
      <c r="Q48" s="29"/>
      <c r="R48" s="29"/>
      <c r="S48" s="29"/>
      <c r="T48" s="29"/>
      <c r="U48" s="29"/>
      <c r="V48" s="29"/>
      <c r="W48" s="29"/>
      <c r="X48" s="29"/>
      <c r="Y48" s="29"/>
      <c r="Z48" s="29"/>
    </row>
    <row r="49" ht="15.75" customHeight="1">
      <c r="A49" s="79">
        <v>38.0</v>
      </c>
      <c r="B49" s="80"/>
      <c r="C49" s="81"/>
      <c r="D49" s="90"/>
      <c r="E49" s="91" t="s">
        <v>194</v>
      </c>
      <c r="F49" s="83" t="s">
        <v>195</v>
      </c>
      <c r="G49" s="101" t="s">
        <v>181</v>
      </c>
      <c r="H49" s="101" t="s">
        <v>196</v>
      </c>
      <c r="I49" s="102" t="s">
        <v>163</v>
      </c>
      <c r="J49" s="106"/>
      <c r="K49" s="104"/>
      <c r="L49" s="88" t="s">
        <v>95</v>
      </c>
      <c r="M49" s="105"/>
      <c r="N49" s="29"/>
      <c r="O49" s="29"/>
      <c r="P49" s="29"/>
      <c r="Q49" s="29"/>
      <c r="R49" s="29"/>
      <c r="S49" s="29"/>
      <c r="T49" s="29"/>
      <c r="U49" s="29"/>
      <c r="V49" s="29"/>
      <c r="W49" s="29"/>
      <c r="X49" s="29"/>
      <c r="Y49" s="29"/>
      <c r="Z49" s="29"/>
    </row>
    <row r="50" ht="27.75" customHeight="1">
      <c r="A50" s="79">
        <v>39.0</v>
      </c>
      <c r="B50" s="80"/>
      <c r="C50" s="81"/>
      <c r="D50" s="90"/>
      <c r="E50" s="91" t="s">
        <v>197</v>
      </c>
      <c r="F50" s="83" t="s">
        <v>198</v>
      </c>
      <c r="G50" s="101" t="s">
        <v>181</v>
      </c>
      <c r="H50" s="101" t="s">
        <v>199</v>
      </c>
      <c r="I50" s="102" t="s">
        <v>163</v>
      </c>
      <c r="J50" s="103"/>
      <c r="K50" s="104"/>
      <c r="L50" s="88" t="s">
        <v>95</v>
      </c>
      <c r="M50" s="105"/>
      <c r="N50" s="29"/>
      <c r="O50" s="29"/>
      <c r="P50" s="29"/>
      <c r="Q50" s="29"/>
      <c r="R50" s="29"/>
      <c r="S50" s="29"/>
      <c r="T50" s="29"/>
      <c r="U50" s="29"/>
      <c r="V50" s="29"/>
      <c r="W50" s="29"/>
      <c r="X50" s="29"/>
      <c r="Y50" s="29"/>
      <c r="Z50" s="29"/>
    </row>
    <row r="51" ht="28.5" customHeight="1">
      <c r="A51" s="79">
        <v>40.0</v>
      </c>
      <c r="B51" s="80"/>
      <c r="C51" s="81"/>
      <c r="D51" s="90"/>
      <c r="E51" s="91" t="s">
        <v>200</v>
      </c>
      <c r="F51" s="83" t="s">
        <v>201</v>
      </c>
      <c r="G51" s="101" t="s">
        <v>169</v>
      </c>
      <c r="H51" s="101" t="s">
        <v>202</v>
      </c>
      <c r="I51" s="102" t="s">
        <v>163</v>
      </c>
      <c r="J51" s="107" t="s">
        <v>203</v>
      </c>
      <c r="K51" s="104"/>
      <c r="L51" s="88" t="s">
        <v>101</v>
      </c>
      <c r="M51" s="105"/>
      <c r="N51" s="29"/>
      <c r="O51" s="29"/>
      <c r="P51" s="29"/>
      <c r="Q51" s="29"/>
      <c r="R51" s="29"/>
      <c r="S51" s="29"/>
      <c r="T51" s="29"/>
      <c r="U51" s="29"/>
      <c r="V51" s="29"/>
      <c r="W51" s="29"/>
      <c r="X51" s="29"/>
      <c r="Y51" s="29"/>
      <c r="Z51" s="29"/>
    </row>
    <row r="52" ht="15.75" customHeight="1">
      <c r="A52" s="79">
        <v>41.0</v>
      </c>
      <c r="B52" s="80"/>
      <c r="C52" s="81"/>
      <c r="D52" s="90"/>
      <c r="E52" s="91" t="s">
        <v>204</v>
      </c>
      <c r="F52" s="83" t="s">
        <v>205</v>
      </c>
      <c r="G52" s="101" t="s">
        <v>181</v>
      </c>
      <c r="H52" s="101" t="s">
        <v>199</v>
      </c>
      <c r="I52" s="102" t="s">
        <v>163</v>
      </c>
      <c r="J52" s="103"/>
      <c r="K52" s="115"/>
      <c r="L52" s="88" t="s">
        <v>95</v>
      </c>
      <c r="M52" s="105"/>
      <c r="N52" s="29"/>
      <c r="O52" s="29"/>
      <c r="P52" s="29"/>
      <c r="Q52" s="29"/>
      <c r="R52" s="29"/>
      <c r="S52" s="29"/>
      <c r="T52" s="29"/>
      <c r="U52" s="29"/>
      <c r="V52" s="29"/>
      <c r="W52" s="29"/>
      <c r="X52" s="29"/>
      <c r="Y52" s="29"/>
      <c r="Z52" s="29"/>
    </row>
    <row r="53" ht="27.75" customHeight="1">
      <c r="A53" s="79">
        <v>42.0</v>
      </c>
      <c r="B53" s="80"/>
      <c r="C53" s="81"/>
      <c r="D53" s="90"/>
      <c r="E53" s="91" t="s">
        <v>206</v>
      </c>
      <c r="F53" s="91" t="s">
        <v>201</v>
      </c>
      <c r="G53" s="101" t="s">
        <v>181</v>
      </c>
      <c r="H53" s="101">
        <v>1.9348389921E10</v>
      </c>
      <c r="I53" s="102" t="s">
        <v>163</v>
      </c>
      <c r="J53" s="114" t="s">
        <v>207</v>
      </c>
      <c r="K53" s="115"/>
      <c r="L53" s="88" t="s">
        <v>101</v>
      </c>
      <c r="M53" s="105"/>
      <c r="N53" s="29"/>
      <c r="O53" s="29"/>
      <c r="P53" s="29"/>
      <c r="Q53" s="29"/>
      <c r="R53" s="29"/>
      <c r="S53" s="29"/>
      <c r="T53" s="29"/>
      <c r="U53" s="29"/>
      <c r="V53" s="29"/>
      <c r="W53" s="29"/>
      <c r="X53" s="29"/>
      <c r="Y53" s="29"/>
      <c r="Z53" s="29"/>
    </row>
    <row r="54" ht="28.5" customHeight="1">
      <c r="A54" s="79">
        <v>43.0</v>
      </c>
      <c r="B54" s="80"/>
      <c r="C54" s="81"/>
      <c r="D54" s="90"/>
      <c r="E54" s="91" t="s">
        <v>208</v>
      </c>
      <c r="F54" s="91" t="s">
        <v>209</v>
      </c>
      <c r="G54" s="101" t="s">
        <v>181</v>
      </c>
      <c r="H54" s="101">
        <v>1.934838992E9</v>
      </c>
      <c r="I54" s="102" t="s">
        <v>210</v>
      </c>
      <c r="J54" s="103"/>
      <c r="K54" s="115"/>
      <c r="L54" s="88" t="s">
        <v>95</v>
      </c>
      <c r="M54" s="105"/>
      <c r="N54" s="29"/>
      <c r="O54" s="29"/>
      <c r="P54" s="29"/>
      <c r="Q54" s="29"/>
      <c r="R54" s="29"/>
      <c r="S54" s="29"/>
      <c r="T54" s="29"/>
      <c r="U54" s="29"/>
      <c r="V54" s="29"/>
      <c r="W54" s="29"/>
      <c r="X54" s="29"/>
      <c r="Y54" s="29"/>
      <c r="Z54" s="29"/>
    </row>
    <row r="55" ht="30.0" customHeight="1">
      <c r="A55" s="79">
        <v>44.0</v>
      </c>
      <c r="B55" s="80"/>
      <c r="C55" s="81"/>
      <c r="D55" s="82" t="s">
        <v>183</v>
      </c>
      <c r="E55" s="83" t="s">
        <v>211</v>
      </c>
      <c r="F55" s="91" t="s">
        <v>212</v>
      </c>
      <c r="G55" s="101" t="s">
        <v>181</v>
      </c>
      <c r="H55" s="101">
        <v>7070.0</v>
      </c>
      <c r="I55" s="102" t="s">
        <v>210</v>
      </c>
      <c r="J55" s="103"/>
      <c r="K55" s="115"/>
      <c r="L55" s="88" t="s">
        <v>95</v>
      </c>
      <c r="M55" s="105"/>
      <c r="N55" s="29"/>
      <c r="O55" s="29"/>
      <c r="P55" s="29"/>
      <c r="Q55" s="29"/>
      <c r="R55" s="29"/>
      <c r="S55" s="29"/>
      <c r="T55" s="29"/>
      <c r="U55" s="29"/>
      <c r="V55" s="29"/>
      <c r="W55" s="29"/>
      <c r="X55" s="29"/>
      <c r="Y55" s="29"/>
      <c r="Z55" s="29"/>
    </row>
    <row r="56" ht="27.75" customHeight="1">
      <c r="A56" s="79">
        <v>45.0</v>
      </c>
      <c r="B56" s="80"/>
      <c r="C56" s="81"/>
      <c r="D56" s="90"/>
      <c r="E56" s="83" t="s">
        <v>213</v>
      </c>
      <c r="F56" s="83" t="s">
        <v>214</v>
      </c>
      <c r="G56" s="101" t="s">
        <v>181</v>
      </c>
      <c r="H56" s="101" t="s">
        <v>99</v>
      </c>
      <c r="I56" s="102" t="s">
        <v>210</v>
      </c>
      <c r="J56" s="103"/>
      <c r="K56" s="115"/>
      <c r="L56" s="88" t="s">
        <v>95</v>
      </c>
      <c r="M56" s="105"/>
      <c r="N56" s="29"/>
      <c r="O56" s="29"/>
      <c r="P56" s="29"/>
      <c r="Q56" s="29"/>
      <c r="R56" s="29"/>
      <c r="S56" s="29"/>
      <c r="T56" s="29"/>
      <c r="U56" s="29"/>
      <c r="V56" s="29"/>
      <c r="W56" s="29"/>
      <c r="X56" s="29"/>
      <c r="Y56" s="29"/>
      <c r="Z56" s="29"/>
    </row>
    <row r="57" ht="28.5" customHeight="1">
      <c r="A57" s="79">
        <v>46.0</v>
      </c>
      <c r="B57" s="80"/>
      <c r="C57" s="81"/>
      <c r="D57" s="90"/>
      <c r="E57" s="83" t="s">
        <v>215</v>
      </c>
      <c r="F57" s="83" t="s">
        <v>198</v>
      </c>
      <c r="G57" s="101" t="s">
        <v>181</v>
      </c>
      <c r="H57" s="101" t="s">
        <v>216</v>
      </c>
      <c r="I57" s="102" t="s">
        <v>210</v>
      </c>
      <c r="J57" s="103"/>
      <c r="K57" s="115"/>
      <c r="L57" s="88" t="s">
        <v>95</v>
      </c>
      <c r="M57" s="105"/>
      <c r="N57" s="29"/>
      <c r="O57" s="29"/>
      <c r="P57" s="29"/>
      <c r="Q57" s="29"/>
      <c r="R57" s="29"/>
      <c r="S57" s="29"/>
      <c r="T57" s="29"/>
      <c r="U57" s="29"/>
      <c r="V57" s="29"/>
      <c r="W57" s="29"/>
      <c r="X57" s="29"/>
      <c r="Y57" s="29"/>
      <c r="Z57" s="29"/>
    </row>
    <row r="58" ht="16.5" customHeight="1">
      <c r="A58" s="79">
        <v>47.0</v>
      </c>
      <c r="B58" s="80"/>
      <c r="C58" s="81"/>
      <c r="D58" s="94"/>
      <c r="E58" s="83" t="s">
        <v>217</v>
      </c>
      <c r="F58" s="83" t="s">
        <v>218</v>
      </c>
      <c r="G58" s="101" t="s">
        <v>181</v>
      </c>
      <c r="H58" s="101" t="s">
        <v>219</v>
      </c>
      <c r="I58" s="102" t="s">
        <v>220</v>
      </c>
      <c r="J58" s="103"/>
      <c r="K58" s="115"/>
      <c r="L58" s="88" t="s">
        <v>95</v>
      </c>
      <c r="M58" s="105"/>
      <c r="N58" s="29"/>
      <c r="O58" s="29"/>
      <c r="P58" s="29"/>
      <c r="Q58" s="29"/>
      <c r="R58" s="29"/>
      <c r="S58" s="29"/>
      <c r="T58" s="29"/>
      <c r="U58" s="29"/>
      <c r="V58" s="29"/>
      <c r="W58" s="29"/>
      <c r="X58" s="29"/>
      <c r="Y58" s="29"/>
      <c r="Z58" s="29"/>
    </row>
    <row r="59" ht="16.5" customHeight="1">
      <c r="A59" s="79">
        <v>48.0</v>
      </c>
      <c r="B59" s="80"/>
      <c r="C59" s="81"/>
      <c r="D59" s="94"/>
      <c r="E59" s="83" t="s">
        <v>221</v>
      </c>
      <c r="F59" s="83" t="s">
        <v>218</v>
      </c>
      <c r="G59" s="101" t="s">
        <v>181</v>
      </c>
      <c r="H59" s="101" t="s">
        <v>222</v>
      </c>
      <c r="I59" s="102" t="s">
        <v>220</v>
      </c>
      <c r="J59" s="116"/>
      <c r="K59" s="115"/>
      <c r="L59" s="88" t="s">
        <v>95</v>
      </c>
      <c r="M59" s="105"/>
      <c r="N59" s="29"/>
      <c r="O59" s="29"/>
      <c r="P59" s="29"/>
      <c r="Q59" s="29"/>
      <c r="R59" s="29"/>
      <c r="S59" s="29"/>
      <c r="T59" s="29"/>
      <c r="U59" s="29"/>
      <c r="V59" s="29"/>
      <c r="W59" s="29"/>
      <c r="X59" s="29"/>
      <c r="Y59" s="29"/>
      <c r="Z59" s="29"/>
    </row>
    <row r="60" ht="15.75" customHeight="1">
      <c r="A60" s="79">
        <v>49.0</v>
      </c>
      <c r="B60" s="80"/>
      <c r="C60" s="81"/>
      <c r="D60" s="94"/>
      <c r="E60" s="83" t="s">
        <v>223</v>
      </c>
      <c r="F60" s="83" t="s">
        <v>218</v>
      </c>
      <c r="G60" s="101" t="s">
        <v>181</v>
      </c>
      <c r="H60" s="101" t="s">
        <v>224</v>
      </c>
      <c r="I60" s="102" t="s">
        <v>220</v>
      </c>
      <c r="J60" s="116"/>
      <c r="K60" s="115"/>
      <c r="L60" s="88" t="s">
        <v>95</v>
      </c>
      <c r="M60" s="105"/>
      <c r="N60" s="29"/>
      <c r="O60" s="29"/>
      <c r="P60" s="29"/>
      <c r="Q60" s="29"/>
      <c r="R60" s="29"/>
      <c r="S60" s="29"/>
      <c r="T60" s="29"/>
      <c r="U60" s="29"/>
      <c r="V60" s="29"/>
      <c r="W60" s="29"/>
      <c r="X60" s="29"/>
      <c r="Y60" s="29"/>
      <c r="Z60" s="29"/>
    </row>
    <row r="61" ht="27.75" customHeight="1">
      <c r="A61" s="79">
        <v>50.0</v>
      </c>
      <c r="B61" s="80"/>
      <c r="C61" s="81"/>
      <c r="D61" s="90"/>
      <c r="E61" s="83" t="s">
        <v>225</v>
      </c>
      <c r="F61" s="83" t="s">
        <v>218</v>
      </c>
      <c r="G61" s="101" t="s">
        <v>181</v>
      </c>
      <c r="H61" s="101" t="s">
        <v>226</v>
      </c>
      <c r="I61" s="102" t="s">
        <v>220</v>
      </c>
      <c r="J61" s="116"/>
      <c r="K61" s="115"/>
      <c r="L61" s="88" t="s">
        <v>95</v>
      </c>
      <c r="M61" s="105"/>
      <c r="N61" s="29"/>
      <c r="O61" s="29"/>
      <c r="P61" s="29"/>
      <c r="Q61" s="29"/>
      <c r="R61" s="29"/>
      <c r="S61" s="29"/>
      <c r="T61" s="29"/>
      <c r="U61" s="29"/>
      <c r="V61" s="29"/>
      <c r="W61" s="29"/>
      <c r="X61" s="29"/>
      <c r="Y61" s="29"/>
      <c r="Z61" s="29"/>
    </row>
    <row r="62" ht="27.75" customHeight="1">
      <c r="A62" s="79">
        <v>51.0</v>
      </c>
      <c r="B62" s="80"/>
      <c r="C62" s="81"/>
      <c r="D62" s="90"/>
      <c r="E62" s="83" t="s">
        <v>227</v>
      </c>
      <c r="F62" s="83" t="s">
        <v>218</v>
      </c>
      <c r="G62" s="101" t="s">
        <v>181</v>
      </c>
      <c r="H62" s="101" t="s">
        <v>228</v>
      </c>
      <c r="I62" s="102" t="s">
        <v>220</v>
      </c>
      <c r="J62" s="116"/>
      <c r="K62" s="115"/>
      <c r="L62" s="88" t="s">
        <v>95</v>
      </c>
      <c r="M62" s="105"/>
      <c r="N62" s="29"/>
      <c r="O62" s="29"/>
      <c r="P62" s="29"/>
      <c r="Q62" s="29"/>
      <c r="R62" s="29"/>
      <c r="S62" s="29"/>
      <c r="T62" s="29"/>
      <c r="U62" s="29"/>
      <c r="V62" s="29"/>
      <c r="W62" s="29"/>
      <c r="X62" s="29"/>
      <c r="Y62" s="29"/>
      <c r="Z62" s="29"/>
    </row>
    <row r="63" ht="27.75" customHeight="1">
      <c r="A63" s="79">
        <v>52.0</v>
      </c>
      <c r="B63" s="80"/>
      <c r="C63" s="81"/>
      <c r="D63" s="90"/>
      <c r="E63" s="83" t="s">
        <v>229</v>
      </c>
      <c r="F63" s="83" t="s">
        <v>230</v>
      </c>
      <c r="G63" s="101" t="s">
        <v>181</v>
      </c>
      <c r="H63" s="101" t="s">
        <v>231</v>
      </c>
      <c r="I63" s="102" t="s">
        <v>220</v>
      </c>
      <c r="J63" s="116"/>
      <c r="K63" s="115"/>
      <c r="L63" s="88" t="s">
        <v>95</v>
      </c>
      <c r="M63" s="105"/>
      <c r="N63" s="29"/>
      <c r="O63" s="29"/>
      <c r="P63" s="29"/>
      <c r="Q63" s="29"/>
      <c r="R63" s="29"/>
      <c r="S63" s="29"/>
      <c r="T63" s="29"/>
      <c r="U63" s="29"/>
      <c r="V63" s="29"/>
      <c r="W63" s="29"/>
      <c r="X63" s="29"/>
      <c r="Y63" s="29"/>
      <c r="Z63" s="29"/>
    </row>
    <row r="64" ht="29.25" customHeight="1">
      <c r="A64" s="79">
        <v>53.0</v>
      </c>
      <c r="B64" s="80"/>
      <c r="C64" s="81"/>
      <c r="D64" s="90"/>
      <c r="E64" s="83" t="s">
        <v>232</v>
      </c>
      <c r="F64" s="83" t="s">
        <v>233</v>
      </c>
      <c r="G64" s="101" t="s">
        <v>181</v>
      </c>
      <c r="H64" s="101" t="s">
        <v>196</v>
      </c>
      <c r="I64" s="102" t="s">
        <v>220</v>
      </c>
      <c r="J64" s="116"/>
      <c r="K64" s="115"/>
      <c r="L64" s="88" t="s">
        <v>95</v>
      </c>
      <c r="M64" s="105"/>
      <c r="N64" s="29"/>
      <c r="O64" s="29"/>
      <c r="P64" s="29"/>
      <c r="Q64" s="29"/>
      <c r="R64" s="29"/>
      <c r="S64" s="29"/>
      <c r="T64" s="29"/>
      <c r="U64" s="29"/>
      <c r="V64" s="29"/>
      <c r="W64" s="29"/>
      <c r="X64" s="29"/>
      <c r="Y64" s="29"/>
      <c r="Z64" s="29"/>
    </row>
    <row r="65" ht="16.5" customHeight="1">
      <c r="A65" s="79">
        <v>54.0</v>
      </c>
      <c r="B65" s="80"/>
      <c r="C65" s="81"/>
      <c r="D65" s="90"/>
      <c r="E65" s="83" t="s">
        <v>234</v>
      </c>
      <c r="F65" s="83" t="s">
        <v>235</v>
      </c>
      <c r="G65" s="101" t="s">
        <v>181</v>
      </c>
      <c r="H65" s="101" t="s">
        <v>236</v>
      </c>
      <c r="I65" s="102" t="s">
        <v>220</v>
      </c>
      <c r="J65" s="116"/>
      <c r="K65" s="115"/>
      <c r="L65" s="88" t="s">
        <v>95</v>
      </c>
      <c r="M65" s="105"/>
      <c r="N65" s="29"/>
      <c r="O65" s="29"/>
      <c r="P65" s="29"/>
      <c r="Q65" s="29"/>
      <c r="R65" s="29"/>
      <c r="S65" s="29"/>
      <c r="T65" s="29"/>
      <c r="U65" s="29"/>
      <c r="V65" s="29"/>
      <c r="W65" s="29"/>
      <c r="X65" s="29"/>
      <c r="Y65" s="29"/>
      <c r="Z65" s="29"/>
    </row>
    <row r="66" ht="15.75" customHeight="1">
      <c r="A66" s="79">
        <v>55.0</v>
      </c>
      <c r="B66" s="80"/>
      <c r="C66" s="81"/>
      <c r="D66" s="90"/>
      <c r="E66" s="83" t="s">
        <v>237</v>
      </c>
      <c r="F66" s="83" t="s">
        <v>238</v>
      </c>
      <c r="G66" s="101" t="s">
        <v>181</v>
      </c>
      <c r="H66" s="101" t="s">
        <v>239</v>
      </c>
      <c r="I66" s="102" t="s">
        <v>220</v>
      </c>
      <c r="J66" s="116"/>
      <c r="K66" s="115"/>
      <c r="L66" s="88" t="s">
        <v>95</v>
      </c>
      <c r="M66" s="105"/>
      <c r="N66" s="29"/>
      <c r="O66" s="29"/>
      <c r="P66" s="29"/>
      <c r="Q66" s="29"/>
      <c r="R66" s="29"/>
      <c r="S66" s="29"/>
      <c r="T66" s="29"/>
      <c r="U66" s="29"/>
      <c r="V66" s="29"/>
      <c r="W66" s="29"/>
      <c r="X66" s="29"/>
      <c r="Y66" s="29"/>
      <c r="Z66" s="29"/>
    </row>
    <row r="67" ht="27.75" customHeight="1">
      <c r="A67" s="79">
        <v>56.0</v>
      </c>
      <c r="B67" s="80"/>
      <c r="C67" s="81"/>
      <c r="D67" s="90"/>
      <c r="E67" s="83" t="s">
        <v>240</v>
      </c>
      <c r="F67" s="83" t="s">
        <v>238</v>
      </c>
      <c r="G67" s="101" t="s">
        <v>181</v>
      </c>
      <c r="H67" s="101" t="s">
        <v>241</v>
      </c>
      <c r="I67" s="102" t="s">
        <v>220</v>
      </c>
      <c r="J67" s="116"/>
      <c r="K67" s="115"/>
      <c r="L67" s="88" t="s">
        <v>95</v>
      </c>
      <c r="M67" s="105"/>
      <c r="N67" s="29"/>
      <c r="O67" s="29"/>
      <c r="P67" s="29"/>
      <c r="Q67" s="29"/>
      <c r="R67" s="29"/>
      <c r="S67" s="29"/>
      <c r="T67" s="29"/>
      <c r="U67" s="29"/>
      <c r="V67" s="29"/>
      <c r="W67" s="29"/>
      <c r="X67" s="29"/>
      <c r="Y67" s="29"/>
      <c r="Z67" s="29"/>
    </row>
    <row r="68" ht="16.5" customHeight="1">
      <c r="A68" s="79">
        <v>57.0</v>
      </c>
      <c r="B68" s="80"/>
      <c r="C68" s="81"/>
      <c r="D68" s="90"/>
      <c r="E68" s="83" t="s">
        <v>242</v>
      </c>
      <c r="F68" s="83" t="s">
        <v>238</v>
      </c>
      <c r="G68" s="101" t="s">
        <v>181</v>
      </c>
      <c r="H68" s="101" t="s">
        <v>196</v>
      </c>
      <c r="I68" s="102" t="s">
        <v>220</v>
      </c>
      <c r="J68" s="116"/>
      <c r="K68" s="115"/>
      <c r="L68" s="88" t="s">
        <v>95</v>
      </c>
      <c r="M68" s="105"/>
      <c r="N68" s="29"/>
      <c r="O68" s="29"/>
      <c r="P68" s="29"/>
      <c r="Q68" s="29"/>
      <c r="R68" s="29"/>
      <c r="S68" s="29"/>
      <c r="T68" s="29"/>
      <c r="U68" s="29"/>
      <c r="V68" s="29"/>
      <c r="W68" s="29"/>
      <c r="X68" s="29"/>
      <c r="Y68" s="29"/>
      <c r="Z68" s="29"/>
    </row>
    <row r="69" ht="17.25" customHeight="1">
      <c r="A69" s="79">
        <v>58.0</v>
      </c>
      <c r="B69" s="80"/>
      <c r="C69" s="81"/>
      <c r="D69" s="90"/>
      <c r="E69" s="83" t="s">
        <v>243</v>
      </c>
      <c r="F69" s="83" t="s">
        <v>218</v>
      </c>
      <c r="G69" s="101" t="s">
        <v>181</v>
      </c>
      <c r="H69" s="101" t="s">
        <v>244</v>
      </c>
      <c r="I69" s="102" t="s">
        <v>220</v>
      </c>
      <c r="J69" s="116"/>
      <c r="K69" s="115"/>
      <c r="L69" s="88" t="s">
        <v>95</v>
      </c>
      <c r="M69" s="105"/>
      <c r="N69" s="29"/>
      <c r="O69" s="29"/>
      <c r="P69" s="29"/>
      <c r="Q69" s="29"/>
      <c r="R69" s="29"/>
      <c r="S69" s="29"/>
      <c r="T69" s="29"/>
      <c r="U69" s="29"/>
      <c r="V69" s="29"/>
      <c r="W69" s="29"/>
      <c r="X69" s="29"/>
      <c r="Y69" s="29"/>
      <c r="Z69" s="29"/>
    </row>
    <row r="70" ht="16.5" customHeight="1">
      <c r="A70" s="79">
        <v>59.0</v>
      </c>
      <c r="B70" s="80"/>
      <c r="C70" s="81"/>
      <c r="D70" s="82" t="s">
        <v>245</v>
      </c>
      <c r="E70" s="83" t="s">
        <v>246</v>
      </c>
      <c r="F70" s="83" t="s">
        <v>247</v>
      </c>
      <c r="G70" s="101" t="s">
        <v>181</v>
      </c>
      <c r="H70" s="101" t="s">
        <v>248</v>
      </c>
      <c r="I70" s="102" t="s">
        <v>249</v>
      </c>
      <c r="J70" s="117"/>
      <c r="K70" s="115"/>
      <c r="L70" s="88" t="s">
        <v>95</v>
      </c>
      <c r="M70" s="105"/>
      <c r="N70" s="29"/>
      <c r="O70" s="29"/>
      <c r="P70" s="29"/>
      <c r="Q70" s="29"/>
      <c r="R70" s="29"/>
      <c r="S70" s="29"/>
      <c r="T70" s="29"/>
      <c r="U70" s="29"/>
      <c r="V70" s="29"/>
      <c r="W70" s="29"/>
      <c r="X70" s="29"/>
      <c r="Y70" s="29"/>
      <c r="Z70" s="29"/>
    </row>
    <row r="71" ht="16.5" customHeight="1">
      <c r="A71" s="79">
        <v>60.0</v>
      </c>
      <c r="B71" s="80"/>
      <c r="C71" s="81"/>
      <c r="D71" s="90"/>
      <c r="E71" s="83" t="s">
        <v>250</v>
      </c>
      <c r="F71" s="83" t="s">
        <v>251</v>
      </c>
      <c r="G71" s="101" t="s">
        <v>181</v>
      </c>
      <c r="H71" s="101" t="s">
        <v>199</v>
      </c>
      <c r="I71" s="102" t="s">
        <v>249</v>
      </c>
      <c r="J71" s="103"/>
      <c r="K71" s="115"/>
      <c r="L71" s="88" t="s">
        <v>95</v>
      </c>
      <c r="M71" s="105"/>
      <c r="N71" s="29"/>
      <c r="O71" s="29"/>
      <c r="P71" s="29"/>
      <c r="Q71" s="29"/>
      <c r="R71" s="29"/>
      <c r="S71" s="29"/>
      <c r="T71" s="29"/>
      <c r="U71" s="29"/>
      <c r="V71" s="29"/>
      <c r="W71" s="29"/>
      <c r="X71" s="29"/>
      <c r="Y71" s="29"/>
      <c r="Z71" s="29"/>
    </row>
    <row r="72" ht="16.5" customHeight="1">
      <c r="A72" s="79">
        <v>61.0</v>
      </c>
      <c r="B72" s="80"/>
      <c r="C72" s="81"/>
      <c r="D72" s="90"/>
      <c r="E72" s="83" t="s">
        <v>252</v>
      </c>
      <c r="F72" s="83" t="s">
        <v>247</v>
      </c>
      <c r="G72" s="101" t="s">
        <v>181</v>
      </c>
      <c r="H72" s="101" t="s">
        <v>253</v>
      </c>
      <c r="I72" s="102" t="s">
        <v>249</v>
      </c>
      <c r="J72" s="106"/>
      <c r="K72" s="115"/>
      <c r="L72" s="88" t="s">
        <v>95</v>
      </c>
      <c r="M72" s="105"/>
      <c r="N72" s="29"/>
      <c r="O72" s="29"/>
      <c r="P72" s="29"/>
      <c r="Q72" s="29"/>
      <c r="R72" s="29"/>
      <c r="S72" s="29"/>
      <c r="T72" s="29"/>
      <c r="U72" s="29"/>
      <c r="V72" s="29"/>
      <c r="W72" s="29"/>
      <c r="X72" s="29"/>
      <c r="Y72" s="29"/>
      <c r="Z72" s="29"/>
    </row>
    <row r="73" ht="15.75" customHeight="1">
      <c r="A73" s="118">
        <v>62.0</v>
      </c>
      <c r="B73" s="80"/>
      <c r="C73" s="81"/>
      <c r="D73" s="82" t="s">
        <v>245</v>
      </c>
      <c r="E73" s="91" t="s">
        <v>254</v>
      </c>
      <c r="F73" s="91" t="s">
        <v>251</v>
      </c>
      <c r="G73" s="101" t="s">
        <v>181</v>
      </c>
      <c r="H73" s="101" t="s">
        <v>255</v>
      </c>
      <c r="I73" s="102" t="s">
        <v>249</v>
      </c>
      <c r="J73" s="103"/>
      <c r="K73" s="115"/>
      <c r="L73" s="88" t="s">
        <v>95</v>
      </c>
      <c r="M73" s="105"/>
      <c r="N73" s="29"/>
      <c r="O73" s="29"/>
      <c r="P73" s="29"/>
      <c r="Q73" s="29"/>
      <c r="R73" s="29"/>
      <c r="S73" s="29"/>
      <c r="T73" s="29"/>
      <c r="U73" s="29"/>
      <c r="V73" s="29"/>
      <c r="W73" s="29"/>
      <c r="X73" s="29"/>
      <c r="Y73" s="29"/>
      <c r="Z73" s="29"/>
    </row>
    <row r="74" ht="16.5" customHeight="1">
      <c r="A74" s="118">
        <v>63.0</v>
      </c>
      <c r="B74" s="80"/>
      <c r="C74" s="81"/>
      <c r="D74" s="90"/>
      <c r="E74" s="91" t="s">
        <v>256</v>
      </c>
      <c r="F74" s="91" t="s">
        <v>218</v>
      </c>
      <c r="G74" s="101" t="s">
        <v>181</v>
      </c>
      <c r="H74" s="101" t="s">
        <v>257</v>
      </c>
      <c r="I74" s="102" t="s">
        <v>249</v>
      </c>
      <c r="J74" s="116"/>
      <c r="K74" s="115"/>
      <c r="L74" s="88" t="s">
        <v>95</v>
      </c>
      <c r="M74" s="105"/>
      <c r="N74" s="29"/>
      <c r="O74" s="29"/>
      <c r="P74" s="29"/>
      <c r="Q74" s="29"/>
      <c r="R74" s="29"/>
      <c r="S74" s="29"/>
      <c r="T74" s="29"/>
      <c r="U74" s="29"/>
      <c r="V74" s="29"/>
      <c r="W74" s="29"/>
      <c r="X74" s="29"/>
      <c r="Y74" s="29"/>
      <c r="Z74" s="29"/>
    </row>
    <row r="75" ht="16.5" customHeight="1">
      <c r="A75" s="79">
        <v>64.0</v>
      </c>
      <c r="B75" s="80"/>
      <c r="C75" s="81"/>
      <c r="D75" s="90"/>
      <c r="E75" s="91" t="s">
        <v>256</v>
      </c>
      <c r="F75" s="91" t="s">
        <v>218</v>
      </c>
      <c r="G75" s="101" t="s">
        <v>181</v>
      </c>
      <c r="H75" s="101" t="s">
        <v>257</v>
      </c>
      <c r="I75" s="102" t="s">
        <v>249</v>
      </c>
      <c r="J75" s="116"/>
      <c r="K75" s="115"/>
      <c r="L75" s="88" t="s">
        <v>95</v>
      </c>
      <c r="M75" s="105"/>
      <c r="N75" s="29"/>
      <c r="O75" s="29"/>
      <c r="P75" s="29"/>
      <c r="Q75" s="29"/>
      <c r="R75" s="29"/>
      <c r="S75" s="29"/>
      <c r="T75" s="29"/>
      <c r="U75" s="29"/>
      <c r="V75" s="29"/>
      <c r="W75" s="29"/>
      <c r="X75" s="29"/>
      <c r="Y75" s="29"/>
      <c r="Z75" s="29"/>
    </row>
    <row r="76" ht="16.5" customHeight="1">
      <c r="A76" s="79">
        <v>65.0</v>
      </c>
      <c r="B76" s="80"/>
      <c r="C76" s="81"/>
      <c r="D76" s="90"/>
      <c r="E76" s="83" t="s">
        <v>243</v>
      </c>
      <c r="F76" s="83" t="s">
        <v>218</v>
      </c>
      <c r="G76" s="101" t="s">
        <v>181</v>
      </c>
      <c r="H76" s="101" t="s">
        <v>244</v>
      </c>
      <c r="I76" s="102" t="s">
        <v>220</v>
      </c>
      <c r="J76" s="116"/>
      <c r="K76" s="115"/>
      <c r="L76" s="88" t="s">
        <v>95</v>
      </c>
      <c r="M76" s="105"/>
      <c r="N76" s="29"/>
      <c r="O76" s="29"/>
      <c r="P76" s="29"/>
      <c r="Q76" s="29"/>
      <c r="R76" s="29"/>
      <c r="S76" s="29"/>
      <c r="T76" s="29"/>
      <c r="U76" s="29"/>
      <c r="V76" s="29"/>
      <c r="W76" s="29"/>
      <c r="X76" s="29"/>
      <c r="Y76" s="29"/>
      <c r="Z76" s="29"/>
    </row>
    <row r="77">
      <c r="A77" s="119"/>
      <c r="B77" s="120"/>
      <c r="C77" s="121"/>
      <c r="D77" s="120"/>
      <c r="E77" s="122"/>
      <c r="F77" s="122"/>
      <c r="G77" s="123"/>
      <c r="H77" s="123"/>
      <c r="I77" s="124"/>
      <c r="J77" s="125"/>
      <c r="K77" s="123"/>
      <c r="L77" s="120"/>
      <c r="M77" s="126"/>
      <c r="N77" s="29"/>
      <c r="O77" s="29"/>
      <c r="P77" s="29"/>
      <c r="Q77" s="29"/>
      <c r="R77" s="29"/>
      <c r="S77" s="29"/>
      <c r="T77" s="29"/>
      <c r="U77" s="29"/>
      <c r="V77" s="29"/>
      <c r="W77" s="29"/>
      <c r="X77" s="29"/>
      <c r="Y77" s="29"/>
      <c r="Z77" s="29"/>
    </row>
    <row r="78" ht="27.75" customHeight="1">
      <c r="A78" s="79">
        <v>66.0</v>
      </c>
      <c r="B78" s="80"/>
      <c r="C78" s="81"/>
      <c r="D78" s="90"/>
      <c r="E78" s="91" t="s">
        <v>258</v>
      </c>
      <c r="F78" s="91" t="s">
        <v>259</v>
      </c>
      <c r="G78" s="101" t="s">
        <v>260</v>
      </c>
      <c r="H78" s="101" t="s">
        <v>261</v>
      </c>
      <c r="I78" s="102" t="s">
        <v>262</v>
      </c>
      <c r="J78" s="103"/>
      <c r="K78" s="115"/>
      <c r="L78" s="88" t="s">
        <v>95</v>
      </c>
      <c r="M78" s="105"/>
      <c r="N78" s="29"/>
      <c r="O78" s="29"/>
      <c r="P78" s="29"/>
      <c r="Q78" s="29"/>
      <c r="R78" s="29"/>
      <c r="S78" s="29"/>
      <c r="T78" s="29"/>
      <c r="U78" s="29"/>
      <c r="V78" s="29"/>
      <c r="W78" s="29"/>
      <c r="X78" s="29"/>
      <c r="Y78" s="29"/>
      <c r="Z78" s="29"/>
    </row>
    <row r="79" ht="28.5" customHeight="1">
      <c r="A79" s="79">
        <v>67.0</v>
      </c>
      <c r="B79" s="80"/>
      <c r="C79" s="81"/>
      <c r="D79" s="90"/>
      <c r="E79" s="83" t="s">
        <v>263</v>
      </c>
      <c r="F79" s="91" t="s">
        <v>264</v>
      </c>
      <c r="G79" s="101" t="s">
        <v>260</v>
      </c>
      <c r="H79" s="101" t="s">
        <v>265</v>
      </c>
      <c r="I79" s="102" t="s">
        <v>262</v>
      </c>
      <c r="J79" s="103"/>
      <c r="K79" s="115"/>
      <c r="L79" s="88" t="s">
        <v>95</v>
      </c>
      <c r="M79" s="105"/>
      <c r="N79" s="29"/>
      <c r="O79" s="29"/>
      <c r="P79" s="29"/>
      <c r="Q79" s="29"/>
      <c r="R79" s="29"/>
      <c r="S79" s="29"/>
      <c r="T79" s="29"/>
      <c r="U79" s="29"/>
      <c r="V79" s="29"/>
      <c r="W79" s="29"/>
      <c r="X79" s="29"/>
      <c r="Y79" s="29"/>
      <c r="Z79" s="29"/>
    </row>
    <row r="80" ht="17.25" customHeight="1">
      <c r="A80" s="79">
        <v>68.0</v>
      </c>
      <c r="B80" s="80"/>
      <c r="C80" s="81"/>
      <c r="D80" s="90"/>
      <c r="E80" s="83" t="s">
        <v>266</v>
      </c>
      <c r="F80" s="91" t="s">
        <v>267</v>
      </c>
      <c r="G80" s="101" t="s">
        <v>260</v>
      </c>
      <c r="H80" s="101" t="s">
        <v>268</v>
      </c>
      <c r="I80" s="102" t="s">
        <v>262</v>
      </c>
      <c r="J80" s="103"/>
      <c r="K80" s="115"/>
      <c r="L80" s="88" t="s">
        <v>95</v>
      </c>
      <c r="M80" s="105"/>
      <c r="N80" s="29"/>
      <c r="O80" s="29"/>
      <c r="P80" s="29"/>
      <c r="Q80" s="29"/>
      <c r="R80" s="29"/>
      <c r="S80" s="29"/>
      <c r="T80" s="29"/>
      <c r="U80" s="29"/>
      <c r="V80" s="29"/>
      <c r="W80" s="29"/>
      <c r="X80" s="29"/>
      <c r="Y80" s="29"/>
      <c r="Z80" s="29"/>
    </row>
    <row r="81">
      <c r="A81" s="70"/>
      <c r="B81" s="71"/>
      <c r="C81" s="72"/>
      <c r="D81" s="127"/>
      <c r="E81" s="128"/>
      <c r="F81" s="128"/>
      <c r="G81" s="129"/>
      <c r="H81" s="129"/>
      <c r="I81" s="130"/>
      <c r="J81" s="131"/>
      <c r="K81" s="129"/>
      <c r="L81" s="127"/>
      <c r="M81" s="132"/>
      <c r="N81" s="29"/>
      <c r="O81" s="29"/>
      <c r="P81" s="29"/>
      <c r="Q81" s="29"/>
      <c r="R81" s="29"/>
      <c r="S81" s="29"/>
      <c r="T81" s="29"/>
      <c r="U81" s="29"/>
      <c r="V81" s="29"/>
      <c r="W81" s="29"/>
      <c r="X81" s="29"/>
      <c r="Y81" s="29"/>
      <c r="Z81" s="29"/>
    </row>
    <row r="82">
      <c r="A82" s="79">
        <v>69.0</v>
      </c>
      <c r="B82" s="80"/>
      <c r="C82" s="81"/>
      <c r="D82" s="90"/>
      <c r="E82" s="133" t="s">
        <v>269</v>
      </c>
      <c r="F82" s="134"/>
      <c r="G82" s="115"/>
      <c r="H82" s="115"/>
      <c r="I82" s="116"/>
      <c r="J82" s="103"/>
      <c r="K82" s="115"/>
      <c r="L82" s="88" t="s">
        <v>101</v>
      </c>
      <c r="M82" s="105"/>
      <c r="N82" s="29"/>
      <c r="O82" s="29"/>
      <c r="P82" s="29"/>
      <c r="Q82" s="29"/>
      <c r="R82" s="29"/>
      <c r="S82" s="29"/>
      <c r="T82" s="29"/>
      <c r="U82" s="29"/>
      <c r="V82" s="29"/>
      <c r="W82" s="29"/>
      <c r="X82" s="29"/>
      <c r="Y82" s="29"/>
      <c r="Z82" s="29"/>
    </row>
    <row r="83">
      <c r="A83" s="79">
        <v>70.0</v>
      </c>
      <c r="B83" s="80"/>
      <c r="C83" s="81"/>
      <c r="D83" s="82" t="s">
        <v>270</v>
      </c>
      <c r="E83" s="91" t="s">
        <v>271</v>
      </c>
      <c r="F83" s="134"/>
      <c r="G83" s="115"/>
      <c r="H83" s="115"/>
      <c r="I83" s="116"/>
      <c r="J83" s="103"/>
      <c r="K83" s="104"/>
      <c r="L83" s="94"/>
      <c r="M83" s="105"/>
      <c r="N83" s="29"/>
      <c r="O83" s="29"/>
      <c r="P83" s="29"/>
      <c r="Q83" s="29"/>
      <c r="R83" s="29"/>
      <c r="S83" s="29"/>
      <c r="T83" s="29"/>
      <c r="U83" s="29"/>
      <c r="V83" s="29"/>
      <c r="W83" s="29"/>
      <c r="X83" s="29"/>
      <c r="Y83" s="29"/>
      <c r="Z83" s="29"/>
    </row>
    <row r="84">
      <c r="A84" s="79">
        <v>71.0</v>
      </c>
      <c r="B84" s="80"/>
      <c r="C84" s="81"/>
      <c r="D84" s="90"/>
      <c r="E84" s="91" t="s">
        <v>272</v>
      </c>
      <c r="F84" s="134"/>
      <c r="G84" s="115"/>
      <c r="H84" s="115"/>
      <c r="I84" s="116"/>
      <c r="J84" s="103"/>
      <c r="K84" s="115"/>
      <c r="L84" s="94"/>
      <c r="M84" s="105"/>
      <c r="N84" s="29"/>
      <c r="O84" s="29"/>
      <c r="P84" s="29"/>
      <c r="Q84" s="29"/>
      <c r="R84" s="29"/>
      <c r="S84" s="29"/>
      <c r="T84" s="29"/>
      <c r="U84" s="29"/>
      <c r="V84" s="29"/>
      <c r="W84" s="29"/>
      <c r="X84" s="29"/>
      <c r="Y84" s="29"/>
      <c r="Z84" s="29"/>
    </row>
    <row r="85">
      <c r="A85" s="79">
        <v>72.0</v>
      </c>
      <c r="B85" s="80"/>
      <c r="C85" s="81"/>
      <c r="D85" s="90"/>
      <c r="E85" s="91" t="s">
        <v>273</v>
      </c>
      <c r="F85" s="134"/>
      <c r="G85" s="115"/>
      <c r="H85" s="115"/>
      <c r="I85" s="116"/>
      <c r="J85" s="103"/>
      <c r="K85" s="115"/>
      <c r="L85" s="94"/>
      <c r="M85" s="105"/>
      <c r="N85" s="29"/>
      <c r="O85" s="29"/>
      <c r="P85" s="29"/>
      <c r="Q85" s="29"/>
      <c r="R85" s="29"/>
      <c r="S85" s="29"/>
      <c r="T85" s="29"/>
      <c r="U85" s="29"/>
      <c r="V85" s="29"/>
      <c r="W85" s="29"/>
      <c r="X85" s="29"/>
      <c r="Y85" s="29"/>
      <c r="Z85" s="29"/>
    </row>
    <row r="86">
      <c r="A86" s="135">
        <v>73.0</v>
      </c>
      <c r="B86" s="136"/>
      <c r="C86" s="137"/>
      <c r="D86" s="138"/>
      <c r="E86" s="139"/>
      <c r="F86" s="139"/>
      <c r="G86" s="140"/>
      <c r="H86" s="140"/>
      <c r="I86" s="141"/>
      <c r="J86" s="142"/>
      <c r="K86" s="140"/>
      <c r="L86" s="136"/>
      <c r="M86" s="143"/>
      <c r="N86" s="29"/>
      <c r="O86" s="29"/>
      <c r="P86" s="29"/>
      <c r="Q86" s="29"/>
      <c r="R86" s="29"/>
      <c r="S86" s="29"/>
      <c r="T86" s="29"/>
      <c r="U86" s="29"/>
      <c r="V86" s="29"/>
      <c r="W86" s="29"/>
      <c r="X86" s="29"/>
      <c r="Y86" s="29"/>
      <c r="Z86" s="29"/>
    </row>
    <row r="87">
      <c r="A87" s="144"/>
      <c r="B87" s="144"/>
      <c r="C87" s="58"/>
      <c r="D87" s="144"/>
      <c r="E87" s="145"/>
      <c r="F87" s="145"/>
      <c r="G87" s="146"/>
      <c r="H87" s="146"/>
      <c r="I87" s="147"/>
      <c r="J87" s="147"/>
      <c r="K87" s="146"/>
      <c r="L87" s="144"/>
      <c r="M87" s="146"/>
      <c r="N87" s="29"/>
      <c r="O87" s="29"/>
      <c r="P87" s="29"/>
      <c r="Q87" s="29"/>
      <c r="R87" s="29"/>
      <c r="S87" s="29"/>
      <c r="T87" s="29"/>
      <c r="U87" s="29"/>
      <c r="V87" s="29"/>
      <c r="W87" s="29"/>
      <c r="X87" s="29"/>
      <c r="Y87" s="29"/>
      <c r="Z87" s="29"/>
    </row>
    <row r="88">
      <c r="A88" s="144"/>
      <c r="B88" s="144"/>
      <c r="C88" s="58"/>
      <c r="D88" s="144"/>
      <c r="E88" s="145"/>
      <c r="F88" s="145"/>
      <c r="G88" s="146"/>
      <c r="H88" s="146"/>
      <c r="I88" s="147"/>
      <c r="J88" s="147"/>
      <c r="K88" s="146"/>
      <c r="L88" s="144"/>
      <c r="M88" s="146"/>
      <c r="N88" s="29"/>
      <c r="O88" s="29"/>
      <c r="P88" s="29"/>
      <c r="Q88" s="29"/>
      <c r="R88" s="29"/>
      <c r="S88" s="29"/>
      <c r="T88" s="29"/>
      <c r="U88" s="29"/>
      <c r="V88" s="29"/>
      <c r="W88" s="29"/>
      <c r="X88" s="29"/>
      <c r="Y88" s="29"/>
      <c r="Z88" s="29"/>
    </row>
    <row r="89">
      <c r="A89" s="144"/>
      <c r="B89" s="144"/>
      <c r="C89" s="58"/>
      <c r="D89" s="144"/>
      <c r="E89" s="145"/>
      <c r="F89" s="145"/>
      <c r="G89" s="146"/>
      <c r="H89" s="146"/>
      <c r="I89" s="147"/>
      <c r="J89" s="147"/>
      <c r="K89" s="146"/>
      <c r="L89" s="144"/>
      <c r="M89" s="146"/>
      <c r="N89" s="29"/>
      <c r="O89" s="29"/>
      <c r="P89" s="29"/>
      <c r="Q89" s="29"/>
      <c r="R89" s="29"/>
      <c r="S89" s="29"/>
      <c r="T89" s="29"/>
      <c r="U89" s="29"/>
      <c r="V89" s="29"/>
      <c r="W89" s="29"/>
      <c r="X89" s="29"/>
      <c r="Y89" s="29"/>
      <c r="Z89" s="29"/>
    </row>
    <row r="90">
      <c r="A90" s="144"/>
      <c r="B90" s="144"/>
      <c r="C90" s="58"/>
      <c r="D90" s="144"/>
      <c r="E90" s="145"/>
      <c r="F90" s="145"/>
      <c r="G90" s="146"/>
      <c r="H90" s="146"/>
      <c r="I90" s="147"/>
      <c r="J90" s="147"/>
      <c r="K90" s="146"/>
      <c r="L90" s="144"/>
      <c r="M90" s="146"/>
      <c r="N90" s="29"/>
      <c r="O90" s="29"/>
      <c r="P90" s="29"/>
      <c r="Q90" s="29"/>
      <c r="R90" s="29"/>
      <c r="S90" s="29"/>
      <c r="T90" s="29"/>
      <c r="U90" s="29"/>
      <c r="V90" s="29"/>
      <c r="W90" s="29"/>
      <c r="X90" s="29"/>
      <c r="Y90" s="29"/>
      <c r="Z90" s="29"/>
    </row>
  </sheetData>
  <mergeCells count="8">
    <mergeCell ref="A2:B2"/>
    <mergeCell ref="L2:M2"/>
    <mergeCell ref="A3:B3"/>
    <mergeCell ref="A4:B4"/>
    <mergeCell ref="A5:B5"/>
    <mergeCell ref="A6:B6"/>
    <mergeCell ref="C6:G6"/>
    <mergeCell ref="D20:D37"/>
  </mergeCells>
  <dataValidations>
    <dataValidation type="list" allowBlank="1" showErrorMessage="1" sqref="L10 L12:L44 L46:L76 L78:L80 L82:L85">
      <formula1>"Passed,Failed,Not Executed,Out of Scope"</formula1>
    </dataValidation>
  </dataValidations>
  <hyperlinks>
    <hyperlink r:id="rId1" ref="C2"/>
    <hyperlink r:id="rId2" ref="J41"/>
    <hyperlink r:id="rId3" ref="J42"/>
    <hyperlink r:id="rId4" ref="J43"/>
    <hyperlink r:id="rId5" ref="J51"/>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25.38"/>
  </cols>
  <sheetData>
    <row r="3">
      <c r="B3" s="148" t="s">
        <v>274</v>
      </c>
      <c r="C3" s="46"/>
      <c r="D3" s="46"/>
      <c r="E3" s="46"/>
      <c r="F3" s="46"/>
      <c r="G3" s="5"/>
      <c r="I3" s="149" t="s">
        <v>275</v>
      </c>
      <c r="J3" s="5"/>
      <c r="K3" s="2"/>
    </row>
    <row r="4">
      <c r="B4" s="150" t="s">
        <v>276</v>
      </c>
      <c r="C4" s="151" t="s">
        <v>277</v>
      </c>
      <c r="D4" s="46"/>
      <c r="E4" s="46"/>
      <c r="F4" s="46"/>
      <c r="G4" s="5"/>
      <c r="I4" s="152" t="s">
        <v>278</v>
      </c>
      <c r="J4" s="152" t="s">
        <v>279</v>
      </c>
      <c r="K4" s="2"/>
    </row>
    <row r="5">
      <c r="B5" s="150" t="s">
        <v>60</v>
      </c>
      <c r="C5" s="151" t="s">
        <v>61</v>
      </c>
      <c r="D5" s="46"/>
      <c r="E5" s="46"/>
      <c r="F5" s="46"/>
      <c r="G5" s="5"/>
      <c r="I5" s="153">
        <f>COUNTIF(TestCase!L10:L86, "Passed")</f>
        <v>58</v>
      </c>
      <c r="J5" s="154" t="s">
        <v>64</v>
      </c>
      <c r="K5" s="2"/>
    </row>
    <row r="6">
      <c r="B6" s="150" t="s">
        <v>280</v>
      </c>
      <c r="C6" s="151" t="s">
        <v>281</v>
      </c>
      <c r="D6" s="46"/>
      <c r="E6" s="46"/>
      <c r="F6" s="46"/>
      <c r="G6" s="5"/>
      <c r="I6" s="153">
        <f>COUNTIF(TestCase!L10:L86, "Failed")</f>
        <v>9</v>
      </c>
      <c r="J6" s="154" t="s">
        <v>69</v>
      </c>
      <c r="K6" s="2"/>
    </row>
    <row r="7">
      <c r="B7" s="150" t="s">
        <v>282</v>
      </c>
      <c r="C7" s="151">
        <v>1.0</v>
      </c>
      <c r="D7" s="46"/>
      <c r="E7" s="46"/>
      <c r="F7" s="46"/>
      <c r="G7" s="5"/>
      <c r="I7" s="153">
        <f>COUNTIF(TestCase!L10:L86, "Not Executed")</f>
        <v>0</v>
      </c>
      <c r="J7" s="154" t="s">
        <v>283</v>
      </c>
      <c r="K7" s="2"/>
    </row>
    <row r="8">
      <c r="B8" s="150" t="s">
        <v>284</v>
      </c>
      <c r="C8" s="151" t="s">
        <v>6</v>
      </c>
      <c r="D8" s="46"/>
      <c r="E8" s="46"/>
      <c r="F8" s="46"/>
      <c r="G8" s="5"/>
      <c r="I8" s="153">
        <f>COUNTIF(TestCase!L10:L86, "Out of Scope")</f>
        <v>0</v>
      </c>
      <c r="J8" s="154" t="s">
        <v>285</v>
      </c>
      <c r="K8" s="2"/>
    </row>
    <row r="9">
      <c r="B9" s="150" t="s">
        <v>286</v>
      </c>
      <c r="C9" s="151" t="s">
        <v>6</v>
      </c>
      <c r="D9" s="46"/>
      <c r="E9" s="46"/>
      <c r="F9" s="46"/>
      <c r="G9" s="5"/>
      <c r="I9" s="2"/>
      <c r="J9" s="2"/>
      <c r="K9" s="2"/>
    </row>
    <row r="10">
      <c r="B10" s="150" t="s">
        <v>287</v>
      </c>
      <c r="C10" s="151" t="s">
        <v>4</v>
      </c>
      <c r="D10" s="46"/>
      <c r="E10" s="46"/>
      <c r="F10" s="46"/>
      <c r="G10" s="5"/>
    </row>
    <row r="12">
      <c r="B12" s="155" t="s">
        <v>288</v>
      </c>
      <c r="C12" s="46"/>
      <c r="D12" s="46"/>
      <c r="E12" s="46"/>
      <c r="F12" s="46"/>
      <c r="G12" s="5"/>
    </row>
    <row r="13">
      <c r="B13" s="156" t="s">
        <v>289</v>
      </c>
      <c r="C13" s="156" t="s">
        <v>64</v>
      </c>
      <c r="D13" s="156" t="s">
        <v>69</v>
      </c>
      <c r="E13" s="156" t="s">
        <v>283</v>
      </c>
      <c r="F13" s="156" t="s">
        <v>290</v>
      </c>
      <c r="G13" s="156" t="s">
        <v>291</v>
      </c>
    </row>
    <row r="14">
      <c r="B14" s="157"/>
      <c r="C14" s="158">
        <f>COUNTIF(TestCase!L10:L86, "Passed")</f>
        <v>58</v>
      </c>
      <c r="D14" s="159">
        <f>COUNTIF(TestCase!L10:L86, "Failed")</f>
        <v>9</v>
      </c>
      <c r="E14" s="160">
        <f>COUNTIF(TestCase!L10:L86, "Not Executed")</f>
        <v>0</v>
      </c>
      <c r="F14" s="161">
        <f>COUNTIF(TestCase!L10:L86, "Out of Scope")</f>
        <v>0</v>
      </c>
      <c r="G14" s="162">
        <f>SUM(TestCase!M2:M6)</f>
        <v>67</v>
      </c>
    </row>
    <row r="15">
      <c r="B15" s="163" t="s">
        <v>292</v>
      </c>
      <c r="C15" s="164">
        <f>COUNTIF(TestCase!L10:L86, "Passed")</f>
        <v>58</v>
      </c>
      <c r="D15" s="164">
        <f>COUNTIF(TestCase!L10:L86, "Failed")</f>
        <v>9</v>
      </c>
      <c r="E15" s="164">
        <f>COUNTIF(TestCase!L10:L86, "Not Executed")</f>
        <v>0</v>
      </c>
      <c r="F15" s="164">
        <f>COUNTIF(TestCase!L10:L86, "Out of Scope")</f>
        <v>0</v>
      </c>
      <c r="G15" s="164">
        <f>SUM(TestCase!M2:M6)</f>
        <v>67</v>
      </c>
    </row>
    <row r="17">
      <c r="B17" s="165" t="s">
        <v>293</v>
      </c>
      <c r="C17" s="46"/>
      <c r="D17" s="46"/>
      <c r="E17" s="46"/>
      <c r="F17" s="46"/>
      <c r="G17" s="5"/>
    </row>
    <row r="18">
      <c r="B18" s="165" t="s">
        <v>294</v>
      </c>
      <c r="C18" s="46"/>
      <c r="D18" s="46"/>
      <c r="E18" s="5"/>
      <c r="F18" s="166" t="s">
        <v>295</v>
      </c>
      <c r="G18" s="166" t="s">
        <v>296</v>
      </c>
    </row>
    <row r="19">
      <c r="A19" s="167"/>
      <c r="B19" s="168" t="s">
        <v>297</v>
      </c>
      <c r="C19" s="46"/>
      <c r="D19" s="5"/>
      <c r="E19" s="169"/>
      <c r="F19" s="170" t="s">
        <v>298</v>
      </c>
      <c r="G19" s="170" t="s">
        <v>298</v>
      </c>
    </row>
    <row r="20">
      <c r="B20" s="168" t="s">
        <v>299</v>
      </c>
      <c r="C20" s="46"/>
      <c r="D20" s="5"/>
      <c r="E20" s="169"/>
      <c r="F20" s="170" t="s">
        <v>298</v>
      </c>
      <c r="G20" s="170" t="s">
        <v>298</v>
      </c>
    </row>
    <row r="22">
      <c r="B22" s="171"/>
      <c r="C22" s="150" t="s">
        <v>300</v>
      </c>
      <c r="D22" s="172" t="s">
        <v>301</v>
      </c>
      <c r="E22" s="46"/>
      <c r="F22" s="46"/>
      <c r="G22" s="5"/>
    </row>
    <row r="23">
      <c r="B23" s="173" t="s">
        <v>302</v>
      </c>
      <c r="C23" s="173" t="s">
        <v>303</v>
      </c>
      <c r="D23" s="174" t="s">
        <v>304</v>
      </c>
      <c r="E23" s="46"/>
      <c r="F23" s="46"/>
      <c r="G23" s="5"/>
    </row>
    <row r="24">
      <c r="B24" s="173" t="s">
        <v>302</v>
      </c>
      <c r="C24" s="173" t="s">
        <v>305</v>
      </c>
      <c r="D24" s="174" t="s">
        <v>306</v>
      </c>
      <c r="E24" s="46"/>
      <c r="F24" s="46"/>
      <c r="G24" s="5"/>
    </row>
    <row r="25">
      <c r="B25" s="173" t="s">
        <v>302</v>
      </c>
      <c r="C25" s="173" t="s">
        <v>307</v>
      </c>
      <c r="D25" s="174" t="s">
        <v>308</v>
      </c>
      <c r="E25" s="46"/>
      <c r="F25" s="46"/>
      <c r="G25" s="5"/>
    </row>
    <row r="26">
      <c r="B26" s="173" t="s">
        <v>302</v>
      </c>
      <c r="C26" s="173" t="s">
        <v>309</v>
      </c>
      <c r="D26" s="174" t="s">
        <v>310</v>
      </c>
      <c r="E26" s="46"/>
      <c r="F26" s="46"/>
      <c r="G26" s="5"/>
    </row>
    <row r="27">
      <c r="B27" s="173" t="s">
        <v>302</v>
      </c>
      <c r="C27" s="173" t="s">
        <v>311</v>
      </c>
      <c r="D27" s="174" t="s">
        <v>312</v>
      </c>
      <c r="E27" s="46"/>
      <c r="F27" s="46"/>
      <c r="G27" s="5"/>
    </row>
    <row r="28">
      <c r="B28" s="173" t="s">
        <v>302</v>
      </c>
      <c r="C28" s="173" t="s">
        <v>313</v>
      </c>
      <c r="D28" s="174" t="s">
        <v>314</v>
      </c>
      <c r="E28" s="46"/>
      <c r="F28" s="46"/>
      <c r="G28" s="5"/>
    </row>
    <row r="29">
      <c r="B29" s="173" t="s">
        <v>302</v>
      </c>
      <c r="C29" s="173" t="s">
        <v>315</v>
      </c>
      <c r="D29" s="174" t="s">
        <v>316</v>
      </c>
      <c r="E29" s="46"/>
      <c r="F29" s="46"/>
      <c r="G29" s="5"/>
    </row>
    <row r="31">
      <c r="B31" s="175" t="s">
        <v>317</v>
      </c>
      <c r="C31" s="175" t="s">
        <v>318</v>
      </c>
      <c r="D31" s="176" t="s">
        <v>319</v>
      </c>
      <c r="E31" s="46"/>
      <c r="F31" s="46"/>
      <c r="G31" s="5"/>
    </row>
    <row r="32">
      <c r="B32" s="177"/>
      <c r="C32" s="177"/>
      <c r="D32" s="178"/>
      <c r="E32" s="46"/>
      <c r="F32" s="46"/>
      <c r="G32" s="5"/>
    </row>
  </sheetData>
  <mergeCells count="24">
    <mergeCell ref="B3:G3"/>
    <mergeCell ref="I3:J3"/>
    <mergeCell ref="C4:G4"/>
    <mergeCell ref="C5:G5"/>
    <mergeCell ref="C6:G6"/>
    <mergeCell ref="C7:G7"/>
    <mergeCell ref="C8:G8"/>
    <mergeCell ref="C9:G9"/>
    <mergeCell ref="C10:G10"/>
    <mergeCell ref="B12:G12"/>
    <mergeCell ref="B17:G17"/>
    <mergeCell ref="B18:E18"/>
    <mergeCell ref="B19:D19"/>
    <mergeCell ref="B20:D20"/>
    <mergeCell ref="D29:G29"/>
    <mergeCell ref="D31:G31"/>
    <mergeCell ref="D32:G32"/>
    <mergeCell ref="D22:G22"/>
    <mergeCell ref="D23:G23"/>
    <mergeCell ref="D24:G24"/>
    <mergeCell ref="D25:G25"/>
    <mergeCell ref="D26:G26"/>
    <mergeCell ref="D27:G27"/>
    <mergeCell ref="D28:G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2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179" t="s">
        <v>320</v>
      </c>
      <c r="C3" s="2"/>
      <c r="D3" s="2"/>
      <c r="E3" s="2"/>
      <c r="F3" s="2"/>
      <c r="G3" s="2"/>
      <c r="H3" s="2"/>
      <c r="I3" s="2"/>
      <c r="J3" s="2"/>
      <c r="K3" s="2"/>
      <c r="L3" s="2"/>
      <c r="M3" s="2"/>
      <c r="N3" s="2"/>
      <c r="O3" s="2"/>
      <c r="P3" s="2"/>
      <c r="Q3" s="2"/>
      <c r="R3" s="2"/>
      <c r="S3" s="2"/>
      <c r="T3" s="2"/>
      <c r="U3" s="2"/>
      <c r="V3" s="2"/>
      <c r="W3" s="2"/>
      <c r="X3" s="2"/>
      <c r="Y3" s="2"/>
      <c r="Z3" s="2"/>
    </row>
    <row r="4">
      <c r="A4" s="2"/>
      <c r="B4" s="180"/>
      <c r="C4" s="2"/>
      <c r="D4" s="2"/>
      <c r="E4" s="2"/>
      <c r="F4" s="2"/>
      <c r="G4" s="2"/>
      <c r="H4" s="2"/>
      <c r="I4" s="2"/>
      <c r="J4" s="2"/>
      <c r="K4" s="2"/>
      <c r="L4" s="2"/>
      <c r="M4" s="2"/>
      <c r="N4" s="2"/>
      <c r="O4" s="2"/>
      <c r="P4" s="2"/>
      <c r="Q4" s="2"/>
      <c r="R4" s="2"/>
      <c r="S4" s="2"/>
      <c r="T4" s="2"/>
      <c r="U4" s="2"/>
      <c r="V4" s="2"/>
      <c r="W4" s="2"/>
      <c r="X4" s="2"/>
      <c r="Y4" s="2"/>
      <c r="Z4" s="2"/>
    </row>
    <row r="5">
      <c r="A5" s="2"/>
      <c r="B5" s="181" t="s">
        <v>321</v>
      </c>
      <c r="C5" s="2"/>
      <c r="D5" s="2"/>
      <c r="E5" s="2"/>
      <c r="F5" s="2"/>
      <c r="G5" s="2"/>
      <c r="H5" s="2"/>
      <c r="I5" s="2"/>
      <c r="J5" s="2"/>
      <c r="K5" s="2"/>
      <c r="L5" s="2"/>
      <c r="M5" s="2"/>
      <c r="N5" s="2"/>
      <c r="O5" s="2"/>
      <c r="P5" s="2"/>
      <c r="Q5" s="2"/>
      <c r="R5" s="2"/>
      <c r="S5" s="2"/>
      <c r="T5" s="2"/>
      <c r="U5" s="2"/>
      <c r="V5" s="2"/>
      <c r="W5" s="2"/>
      <c r="X5" s="2"/>
      <c r="Y5" s="2"/>
      <c r="Z5" s="2"/>
    </row>
    <row r="6">
      <c r="A6" s="2"/>
      <c r="B6" s="182" t="s">
        <v>322</v>
      </c>
      <c r="C6" s="2"/>
      <c r="D6" s="2"/>
      <c r="E6" s="2"/>
      <c r="F6" s="2"/>
      <c r="G6" s="2"/>
      <c r="H6" s="2"/>
      <c r="I6" s="2"/>
      <c r="J6" s="2"/>
      <c r="K6" s="2"/>
      <c r="L6" s="2"/>
      <c r="M6" s="2"/>
      <c r="N6" s="2"/>
      <c r="O6" s="2"/>
      <c r="P6" s="2"/>
      <c r="Q6" s="2"/>
      <c r="R6" s="2"/>
      <c r="S6" s="2"/>
      <c r="T6" s="2"/>
      <c r="U6" s="2"/>
      <c r="V6" s="2"/>
      <c r="W6" s="2"/>
      <c r="X6" s="2"/>
      <c r="Y6" s="2"/>
      <c r="Z6" s="2"/>
    </row>
    <row r="7">
      <c r="A7" s="2"/>
      <c r="B7" s="182" t="s">
        <v>323</v>
      </c>
      <c r="C7" s="2"/>
      <c r="D7" s="2"/>
      <c r="E7" s="2"/>
      <c r="F7" s="2"/>
      <c r="G7" s="2"/>
      <c r="H7" s="2"/>
      <c r="I7" s="2"/>
      <c r="J7" s="2"/>
      <c r="K7" s="2"/>
      <c r="L7" s="2"/>
      <c r="M7" s="2"/>
      <c r="N7" s="2"/>
      <c r="O7" s="2"/>
      <c r="P7" s="2"/>
      <c r="Q7" s="2"/>
      <c r="R7" s="2"/>
      <c r="S7" s="2"/>
      <c r="T7" s="2"/>
      <c r="U7" s="2"/>
      <c r="V7" s="2"/>
      <c r="W7" s="2"/>
      <c r="X7" s="2"/>
      <c r="Y7" s="2"/>
      <c r="Z7" s="2"/>
    </row>
    <row r="8">
      <c r="A8" s="2"/>
      <c r="B8" s="183" t="s">
        <v>324</v>
      </c>
      <c r="C8" s="184"/>
      <c r="D8" s="2"/>
      <c r="E8" s="2"/>
      <c r="F8" s="2"/>
      <c r="G8" s="2"/>
      <c r="H8" s="2"/>
      <c r="I8" s="2"/>
      <c r="J8" s="2"/>
      <c r="K8" s="2"/>
      <c r="L8" s="2"/>
      <c r="M8" s="2"/>
      <c r="N8" s="2"/>
      <c r="O8" s="2"/>
      <c r="P8" s="2"/>
      <c r="Q8" s="2"/>
      <c r="R8" s="2"/>
      <c r="S8" s="2"/>
      <c r="T8" s="2"/>
      <c r="U8" s="2"/>
      <c r="V8" s="2"/>
      <c r="W8" s="2"/>
      <c r="X8" s="2"/>
      <c r="Y8" s="2"/>
      <c r="Z8" s="2"/>
    </row>
    <row r="9">
      <c r="A9" s="2"/>
      <c r="B9" s="185" t="s">
        <v>325</v>
      </c>
      <c r="C9" s="184"/>
      <c r="D9" s="2"/>
      <c r="E9" s="2"/>
      <c r="F9" s="2"/>
      <c r="G9" s="2"/>
      <c r="H9" s="2"/>
      <c r="I9" s="2"/>
      <c r="J9" s="2"/>
      <c r="K9" s="2"/>
      <c r="L9" s="2"/>
      <c r="M9" s="2"/>
      <c r="N9" s="2"/>
      <c r="O9" s="2"/>
      <c r="P9" s="2"/>
      <c r="Q9" s="2"/>
      <c r="R9" s="2"/>
      <c r="S9" s="2"/>
      <c r="T9" s="2"/>
      <c r="U9" s="2"/>
      <c r="V9" s="2"/>
      <c r="W9" s="2"/>
      <c r="X9" s="2"/>
      <c r="Y9" s="2"/>
      <c r="Z9" s="2"/>
    </row>
    <row r="10">
      <c r="A10" s="2"/>
      <c r="B10" s="186" t="s">
        <v>326</v>
      </c>
      <c r="C10" s="184"/>
      <c r="D10" s="2"/>
      <c r="E10" s="2"/>
      <c r="F10" s="2"/>
      <c r="G10" s="2"/>
      <c r="H10" s="2"/>
      <c r="I10" s="2"/>
      <c r="J10" s="2"/>
      <c r="K10" s="2"/>
      <c r="L10" s="2"/>
      <c r="M10" s="2"/>
      <c r="N10" s="2"/>
      <c r="O10" s="2"/>
      <c r="P10" s="2"/>
      <c r="Q10" s="2"/>
      <c r="R10" s="2"/>
      <c r="S10" s="2"/>
      <c r="T10" s="2"/>
      <c r="U10" s="2"/>
      <c r="V10" s="2"/>
      <c r="W10" s="2"/>
      <c r="X10" s="2"/>
      <c r="Y10" s="2"/>
      <c r="Z10" s="2"/>
    </row>
    <row r="11">
      <c r="A11" s="2"/>
      <c r="B11" s="186" t="s">
        <v>327</v>
      </c>
      <c r="C11" s="184"/>
      <c r="D11" s="2"/>
      <c r="E11" s="2"/>
      <c r="F11" s="2"/>
      <c r="G11" s="2"/>
      <c r="H11" s="2"/>
      <c r="I11" s="2"/>
      <c r="J11" s="2"/>
      <c r="K11" s="2"/>
      <c r="L11" s="2"/>
      <c r="M11" s="2"/>
      <c r="N11" s="2"/>
      <c r="O11" s="2"/>
      <c r="P11" s="2"/>
      <c r="Q11" s="2"/>
      <c r="R11" s="2"/>
      <c r="S11" s="2"/>
      <c r="T11" s="2"/>
      <c r="U11" s="2"/>
      <c r="V11" s="2"/>
      <c r="W11" s="2"/>
      <c r="X11" s="2"/>
      <c r="Y11" s="2"/>
      <c r="Z11" s="2"/>
    </row>
    <row r="12">
      <c r="A12" s="2"/>
      <c r="B12" s="186" t="s">
        <v>328</v>
      </c>
      <c r="C12" s="184"/>
      <c r="D12" s="2"/>
      <c r="E12" s="2"/>
      <c r="F12" s="2"/>
      <c r="G12" s="2"/>
      <c r="H12" s="2"/>
      <c r="I12" s="2"/>
      <c r="J12" s="2"/>
      <c r="K12" s="2"/>
      <c r="L12" s="2"/>
      <c r="M12" s="2"/>
      <c r="N12" s="2"/>
      <c r="O12" s="2"/>
      <c r="P12" s="2"/>
      <c r="Q12" s="2"/>
      <c r="R12" s="2"/>
      <c r="S12" s="2"/>
      <c r="T12" s="2"/>
      <c r="U12" s="2"/>
      <c r="V12" s="2"/>
      <c r="W12" s="2"/>
      <c r="X12" s="2"/>
      <c r="Y12" s="2"/>
      <c r="Z12" s="2"/>
    </row>
    <row r="13">
      <c r="A13" s="2"/>
      <c r="B13" s="187" t="s">
        <v>329</v>
      </c>
      <c r="C13" s="184"/>
      <c r="D13" s="2"/>
      <c r="E13" s="2"/>
      <c r="F13" s="2"/>
      <c r="G13" s="2"/>
      <c r="H13" s="2"/>
      <c r="I13" s="2"/>
      <c r="J13" s="2"/>
      <c r="K13" s="2"/>
      <c r="L13" s="2"/>
      <c r="M13" s="2"/>
      <c r="N13" s="2"/>
      <c r="O13" s="2"/>
      <c r="P13" s="2"/>
      <c r="Q13" s="2"/>
      <c r="R13" s="2"/>
      <c r="S13" s="2"/>
      <c r="T13" s="2"/>
      <c r="U13" s="2"/>
      <c r="V13" s="2"/>
      <c r="W13" s="2"/>
      <c r="X13" s="2"/>
      <c r="Y13" s="2"/>
      <c r="Z13" s="2"/>
    </row>
    <row r="14">
      <c r="A14" s="2"/>
      <c r="B14" s="188" t="s">
        <v>330</v>
      </c>
      <c r="C14" s="184"/>
      <c r="D14" s="2"/>
      <c r="E14" s="2"/>
      <c r="F14" s="2"/>
      <c r="G14" s="2"/>
      <c r="H14" s="2"/>
      <c r="I14" s="2"/>
      <c r="J14" s="2"/>
      <c r="K14" s="2"/>
      <c r="L14" s="2"/>
      <c r="M14" s="2"/>
      <c r="N14" s="2"/>
      <c r="O14" s="2"/>
      <c r="P14" s="2"/>
      <c r="Q14" s="2"/>
      <c r="R14" s="2"/>
      <c r="S14" s="2"/>
      <c r="T14" s="2"/>
      <c r="U14" s="2"/>
      <c r="V14" s="2"/>
      <c r="W14" s="2"/>
      <c r="X14" s="2"/>
      <c r="Y14" s="2"/>
      <c r="Z14" s="2"/>
    </row>
    <row r="15">
      <c r="A15" s="2"/>
      <c r="B15" s="189"/>
      <c r="C15" s="184"/>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179" t="s">
        <v>320</v>
      </c>
      <c r="C17" s="2"/>
      <c r="D17" s="2"/>
      <c r="E17" s="2"/>
      <c r="F17" s="2"/>
      <c r="G17" s="2"/>
      <c r="H17" s="2"/>
      <c r="I17" s="2"/>
      <c r="J17" s="2"/>
      <c r="K17" s="2"/>
      <c r="L17" s="2"/>
      <c r="M17" s="2"/>
      <c r="N17" s="2"/>
      <c r="O17" s="2"/>
      <c r="P17" s="2"/>
      <c r="Q17" s="2"/>
      <c r="R17" s="2"/>
      <c r="S17" s="2"/>
      <c r="T17" s="2"/>
      <c r="U17" s="2"/>
      <c r="V17" s="2"/>
      <c r="W17" s="2"/>
      <c r="X17" s="2"/>
      <c r="Y17" s="2"/>
      <c r="Z17" s="2"/>
    </row>
    <row r="18">
      <c r="A18" s="2"/>
      <c r="B18" s="180"/>
      <c r="C18" s="2"/>
      <c r="D18" s="2"/>
      <c r="E18" s="2"/>
      <c r="F18" s="2"/>
      <c r="G18" s="2"/>
      <c r="H18" s="2"/>
      <c r="I18" s="2"/>
      <c r="J18" s="2"/>
      <c r="K18" s="2"/>
      <c r="L18" s="2"/>
      <c r="M18" s="2"/>
      <c r="N18" s="2"/>
      <c r="O18" s="2"/>
      <c r="P18" s="2"/>
      <c r="Q18" s="2"/>
      <c r="R18" s="2"/>
      <c r="S18" s="2"/>
      <c r="T18" s="2"/>
      <c r="U18" s="2"/>
      <c r="V18" s="2"/>
      <c r="W18" s="2"/>
      <c r="X18" s="2"/>
      <c r="Y18" s="2"/>
      <c r="Z18" s="2"/>
    </row>
    <row r="19">
      <c r="A19" s="2"/>
      <c r="B19" s="181" t="s">
        <v>331</v>
      </c>
      <c r="C19" s="2"/>
      <c r="D19" s="2"/>
      <c r="E19" s="2"/>
      <c r="F19" s="2"/>
      <c r="G19" s="2"/>
      <c r="H19" s="2"/>
      <c r="I19" s="2"/>
      <c r="J19" s="2"/>
      <c r="K19" s="2"/>
      <c r="L19" s="2"/>
      <c r="M19" s="2"/>
      <c r="N19" s="2"/>
      <c r="O19" s="2"/>
      <c r="P19" s="2"/>
      <c r="Q19" s="2"/>
      <c r="R19" s="2"/>
      <c r="S19" s="2"/>
      <c r="T19" s="2"/>
      <c r="U19" s="2"/>
      <c r="V19" s="2"/>
      <c r="W19" s="2"/>
      <c r="X19" s="2"/>
      <c r="Y19" s="2"/>
      <c r="Z19" s="2"/>
    </row>
    <row r="20">
      <c r="A20" s="2"/>
      <c r="B20" s="182" t="s">
        <v>332</v>
      </c>
      <c r="C20" s="2"/>
      <c r="D20" s="2"/>
      <c r="E20" s="2"/>
      <c r="F20" s="2"/>
      <c r="G20" s="2"/>
      <c r="H20" s="2"/>
      <c r="I20" s="2"/>
      <c r="J20" s="2"/>
      <c r="K20" s="2"/>
      <c r="L20" s="2"/>
      <c r="M20" s="2"/>
      <c r="N20" s="2"/>
      <c r="O20" s="2"/>
      <c r="P20" s="2"/>
      <c r="Q20" s="2"/>
      <c r="R20" s="2"/>
      <c r="S20" s="2"/>
      <c r="T20" s="2"/>
      <c r="U20" s="2"/>
      <c r="V20" s="2"/>
      <c r="W20" s="2"/>
      <c r="X20" s="2"/>
      <c r="Y20" s="2"/>
      <c r="Z20" s="2"/>
    </row>
    <row r="21">
      <c r="A21" s="2"/>
      <c r="B21" s="182" t="s">
        <v>323</v>
      </c>
      <c r="C21" s="2"/>
      <c r="D21" s="2"/>
      <c r="E21" s="2"/>
      <c r="F21" s="2"/>
      <c r="G21" s="2"/>
      <c r="H21" s="2"/>
      <c r="I21" s="2"/>
      <c r="J21" s="2"/>
      <c r="K21" s="2"/>
      <c r="L21" s="2"/>
      <c r="M21" s="2"/>
      <c r="N21" s="2"/>
      <c r="O21" s="2"/>
      <c r="P21" s="2"/>
      <c r="Q21" s="2"/>
      <c r="R21" s="2"/>
      <c r="S21" s="2"/>
      <c r="T21" s="2"/>
      <c r="U21" s="2"/>
      <c r="V21" s="2"/>
      <c r="W21" s="2"/>
      <c r="X21" s="2"/>
      <c r="Y21" s="2"/>
      <c r="Z21" s="2"/>
    </row>
    <row r="22">
      <c r="A22" s="2"/>
      <c r="B22" s="183" t="s">
        <v>333</v>
      </c>
      <c r="C22" s="190"/>
      <c r="D22" s="2"/>
      <c r="E22" s="2"/>
      <c r="F22" s="2"/>
      <c r="G22" s="2"/>
      <c r="H22" s="2"/>
      <c r="I22" s="2"/>
      <c r="J22" s="2"/>
      <c r="K22" s="2"/>
      <c r="L22" s="2"/>
      <c r="M22" s="2"/>
      <c r="N22" s="2"/>
      <c r="O22" s="2"/>
      <c r="P22" s="2"/>
      <c r="Q22" s="2"/>
      <c r="R22" s="2"/>
      <c r="S22" s="2"/>
      <c r="T22" s="2"/>
      <c r="U22" s="2"/>
      <c r="V22" s="2"/>
      <c r="W22" s="2"/>
      <c r="X22" s="2"/>
      <c r="Y22" s="2"/>
      <c r="Z22" s="2"/>
    </row>
    <row r="23">
      <c r="A23" s="2"/>
      <c r="B23" s="186" t="s">
        <v>334</v>
      </c>
      <c r="C23" s="190"/>
      <c r="D23" s="2"/>
      <c r="E23" s="2"/>
      <c r="F23" s="2"/>
      <c r="G23" s="2"/>
      <c r="H23" s="2"/>
      <c r="I23" s="2"/>
      <c r="J23" s="2"/>
      <c r="K23" s="2"/>
      <c r="L23" s="2"/>
      <c r="M23" s="2"/>
      <c r="N23" s="2"/>
      <c r="O23" s="2"/>
      <c r="P23" s="2"/>
      <c r="Q23" s="2"/>
      <c r="R23" s="2"/>
      <c r="S23" s="2"/>
      <c r="T23" s="2"/>
      <c r="U23" s="2"/>
      <c r="V23" s="2"/>
      <c r="W23" s="2"/>
      <c r="X23" s="2"/>
      <c r="Y23" s="2"/>
      <c r="Z23" s="2"/>
    </row>
    <row r="24">
      <c r="A24" s="2"/>
      <c r="B24" s="186" t="s">
        <v>335</v>
      </c>
      <c r="C24" s="190"/>
      <c r="D24" s="2"/>
      <c r="E24" s="2"/>
      <c r="F24" s="2"/>
      <c r="G24" s="2"/>
      <c r="H24" s="2"/>
      <c r="I24" s="2"/>
      <c r="J24" s="2"/>
      <c r="K24" s="2"/>
      <c r="L24" s="2"/>
      <c r="M24" s="2"/>
      <c r="N24" s="2"/>
      <c r="O24" s="2"/>
      <c r="P24" s="2"/>
      <c r="Q24" s="2"/>
      <c r="R24" s="2"/>
      <c r="S24" s="2"/>
      <c r="T24" s="2"/>
      <c r="U24" s="2"/>
      <c r="V24" s="2"/>
      <c r="W24" s="2"/>
      <c r="X24" s="2"/>
      <c r="Y24" s="2"/>
      <c r="Z24" s="2"/>
    </row>
    <row r="25">
      <c r="A25" s="2"/>
      <c r="B25" s="186" t="s">
        <v>336</v>
      </c>
      <c r="C25" s="190"/>
      <c r="D25" s="2"/>
      <c r="E25" s="2"/>
      <c r="F25" s="2"/>
      <c r="G25" s="2"/>
      <c r="H25" s="2"/>
      <c r="I25" s="2"/>
      <c r="J25" s="2"/>
      <c r="K25" s="2"/>
      <c r="L25" s="2"/>
      <c r="M25" s="2"/>
      <c r="N25" s="2"/>
      <c r="O25" s="2"/>
      <c r="P25" s="2"/>
      <c r="Q25" s="2"/>
      <c r="R25" s="2"/>
      <c r="S25" s="2"/>
      <c r="T25" s="2"/>
      <c r="U25" s="2"/>
      <c r="V25" s="2"/>
      <c r="W25" s="2"/>
      <c r="X25" s="2"/>
      <c r="Y25" s="2"/>
      <c r="Z25" s="2"/>
    </row>
    <row r="26">
      <c r="A26" s="2"/>
      <c r="B26" s="187" t="s">
        <v>337</v>
      </c>
      <c r="C26" s="190"/>
      <c r="D26" s="2"/>
      <c r="E26" s="2"/>
      <c r="F26" s="2"/>
      <c r="G26" s="2"/>
      <c r="H26" s="2"/>
      <c r="I26" s="2"/>
      <c r="J26" s="2"/>
      <c r="K26" s="2"/>
      <c r="L26" s="2"/>
      <c r="M26" s="2"/>
      <c r="N26" s="2"/>
      <c r="O26" s="2"/>
      <c r="P26" s="2"/>
      <c r="Q26" s="2"/>
      <c r="R26" s="2"/>
      <c r="S26" s="2"/>
      <c r="T26" s="2"/>
      <c r="U26" s="2"/>
      <c r="V26" s="2"/>
      <c r="W26" s="2"/>
      <c r="X26" s="2"/>
      <c r="Y26" s="2"/>
      <c r="Z26" s="2"/>
    </row>
    <row r="27">
      <c r="A27" s="2"/>
      <c r="B27" s="188" t="s">
        <v>330</v>
      </c>
      <c r="C27" s="190"/>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191" t="s">
        <v>320</v>
      </c>
      <c r="C30" s="2"/>
      <c r="D30" s="2"/>
      <c r="E30" s="2"/>
      <c r="F30" s="2"/>
      <c r="G30" s="2"/>
      <c r="H30" s="2"/>
      <c r="I30" s="2"/>
      <c r="J30" s="2"/>
      <c r="K30" s="2"/>
      <c r="L30" s="2"/>
      <c r="M30" s="2"/>
      <c r="N30" s="2"/>
      <c r="O30" s="2"/>
      <c r="P30" s="2"/>
      <c r="Q30" s="2"/>
      <c r="R30" s="2"/>
      <c r="S30" s="2"/>
      <c r="T30" s="2"/>
      <c r="U30" s="2"/>
      <c r="V30" s="2"/>
      <c r="W30" s="2"/>
      <c r="X30" s="2"/>
      <c r="Y30" s="2"/>
      <c r="Z30" s="2"/>
    </row>
    <row r="31">
      <c r="A31" s="2"/>
      <c r="B31" s="181" t="s">
        <v>338</v>
      </c>
      <c r="C31" s="2"/>
      <c r="D31" s="2"/>
      <c r="E31" s="2"/>
      <c r="F31" s="2"/>
      <c r="G31" s="2"/>
      <c r="H31" s="2"/>
      <c r="I31" s="2"/>
      <c r="J31" s="2"/>
      <c r="K31" s="2"/>
      <c r="L31" s="2"/>
      <c r="M31" s="2"/>
      <c r="N31" s="2"/>
      <c r="O31" s="2"/>
      <c r="P31" s="2"/>
      <c r="Q31" s="2"/>
      <c r="R31" s="2"/>
      <c r="S31" s="2"/>
      <c r="T31" s="2"/>
      <c r="U31" s="2"/>
      <c r="V31" s="2"/>
      <c r="W31" s="2"/>
      <c r="X31" s="2"/>
      <c r="Y31" s="2"/>
      <c r="Z31" s="2"/>
    </row>
    <row r="32">
      <c r="A32" s="2"/>
      <c r="B32" s="182" t="s">
        <v>339</v>
      </c>
      <c r="C32" s="2"/>
      <c r="D32" s="2"/>
      <c r="E32" s="2"/>
      <c r="F32" s="2"/>
      <c r="G32" s="2"/>
      <c r="H32" s="2"/>
      <c r="I32" s="2"/>
      <c r="J32" s="2"/>
      <c r="K32" s="2"/>
      <c r="L32" s="2"/>
      <c r="M32" s="2"/>
      <c r="N32" s="2"/>
      <c r="O32" s="2"/>
      <c r="P32" s="2"/>
      <c r="Q32" s="2"/>
      <c r="R32" s="2"/>
      <c r="S32" s="2"/>
      <c r="T32" s="2"/>
      <c r="U32" s="2"/>
      <c r="V32" s="2"/>
      <c r="W32" s="2"/>
      <c r="X32" s="2"/>
      <c r="Y32" s="2"/>
      <c r="Z32" s="2"/>
    </row>
    <row r="33">
      <c r="A33" s="2"/>
      <c r="B33" s="182" t="s">
        <v>323</v>
      </c>
      <c r="C33" s="2"/>
      <c r="D33" s="2"/>
      <c r="E33" s="2"/>
      <c r="F33" s="2"/>
      <c r="G33" s="2"/>
      <c r="H33" s="2"/>
      <c r="I33" s="2"/>
      <c r="J33" s="2"/>
      <c r="K33" s="2"/>
      <c r="L33" s="2"/>
      <c r="M33" s="2"/>
      <c r="N33" s="2"/>
      <c r="O33" s="2"/>
      <c r="P33" s="2"/>
      <c r="Q33" s="2"/>
      <c r="R33" s="2"/>
      <c r="S33" s="2"/>
      <c r="T33" s="2"/>
      <c r="U33" s="2"/>
      <c r="V33" s="2"/>
      <c r="W33" s="2"/>
      <c r="X33" s="2"/>
      <c r="Y33" s="2"/>
      <c r="Z33" s="2"/>
    </row>
    <row r="34">
      <c r="A34" s="2"/>
      <c r="B34" s="192" t="s">
        <v>163</v>
      </c>
      <c r="C34" s="2"/>
      <c r="D34" s="2"/>
      <c r="E34" s="2"/>
      <c r="F34" s="2"/>
      <c r="G34" s="2"/>
      <c r="H34" s="2"/>
      <c r="I34" s="2"/>
      <c r="J34" s="2"/>
      <c r="K34" s="2"/>
      <c r="L34" s="2"/>
      <c r="M34" s="2"/>
      <c r="N34" s="2"/>
      <c r="O34" s="2"/>
      <c r="P34" s="2"/>
      <c r="Q34" s="2"/>
      <c r="R34" s="2"/>
      <c r="S34" s="2"/>
      <c r="T34" s="2"/>
      <c r="U34" s="2"/>
      <c r="V34" s="2"/>
      <c r="W34" s="2"/>
      <c r="X34" s="2"/>
      <c r="Y34" s="2"/>
      <c r="Z34" s="2"/>
    </row>
    <row r="35">
      <c r="A35" s="2"/>
      <c r="B35" s="182" t="s">
        <v>334</v>
      </c>
      <c r="C35" s="2"/>
      <c r="D35" s="2"/>
      <c r="E35" s="2"/>
      <c r="F35" s="2"/>
      <c r="G35" s="2"/>
      <c r="H35" s="2"/>
      <c r="I35" s="2"/>
      <c r="J35" s="2"/>
      <c r="K35" s="2"/>
      <c r="L35" s="2"/>
      <c r="M35" s="2"/>
      <c r="N35" s="2"/>
      <c r="O35" s="2"/>
      <c r="P35" s="2"/>
      <c r="Q35" s="2"/>
      <c r="R35" s="2"/>
      <c r="S35" s="2"/>
      <c r="T35" s="2"/>
      <c r="U35" s="2"/>
      <c r="V35" s="2"/>
      <c r="W35" s="2"/>
      <c r="X35" s="2"/>
      <c r="Y35" s="2"/>
      <c r="Z35" s="2"/>
    </row>
    <row r="36">
      <c r="A36" s="2"/>
      <c r="B36" s="182" t="s">
        <v>335</v>
      </c>
      <c r="C36" s="2"/>
      <c r="D36" s="2"/>
      <c r="E36" s="2"/>
      <c r="F36" s="2"/>
      <c r="G36" s="2"/>
      <c r="H36" s="2"/>
      <c r="I36" s="2"/>
      <c r="J36" s="2"/>
      <c r="K36" s="2"/>
      <c r="L36" s="2"/>
      <c r="M36" s="2"/>
      <c r="N36" s="2"/>
      <c r="O36" s="2"/>
      <c r="P36" s="2"/>
      <c r="Q36" s="2"/>
      <c r="R36" s="2"/>
      <c r="S36" s="2"/>
      <c r="T36" s="2"/>
      <c r="U36" s="2"/>
      <c r="V36" s="2"/>
      <c r="W36" s="2"/>
      <c r="X36" s="2"/>
      <c r="Y36" s="2"/>
      <c r="Z36" s="2"/>
    </row>
    <row r="37">
      <c r="A37" s="2"/>
      <c r="B37" s="182" t="s">
        <v>336</v>
      </c>
      <c r="C37" s="2"/>
      <c r="D37" s="2"/>
      <c r="E37" s="2"/>
      <c r="F37" s="2"/>
      <c r="G37" s="2"/>
      <c r="H37" s="2"/>
      <c r="I37" s="2"/>
      <c r="J37" s="2"/>
      <c r="K37" s="2"/>
      <c r="L37" s="2"/>
      <c r="M37" s="2"/>
      <c r="N37" s="2"/>
      <c r="O37" s="2"/>
      <c r="P37" s="2"/>
      <c r="Q37" s="2"/>
      <c r="R37" s="2"/>
      <c r="S37" s="2"/>
      <c r="T37" s="2"/>
      <c r="U37" s="2"/>
      <c r="V37" s="2"/>
      <c r="W37" s="2"/>
      <c r="X37" s="2"/>
      <c r="Y37" s="2"/>
      <c r="Z37" s="2"/>
    </row>
    <row r="38">
      <c r="A38" s="2"/>
      <c r="B38" s="193" t="s">
        <v>340</v>
      </c>
      <c r="C38" s="2"/>
      <c r="D38" s="2"/>
      <c r="E38" s="2"/>
      <c r="F38" s="2"/>
      <c r="G38" s="2"/>
      <c r="H38" s="2"/>
      <c r="I38" s="2"/>
      <c r="J38" s="2"/>
      <c r="K38" s="2"/>
      <c r="L38" s="2"/>
      <c r="M38" s="2"/>
      <c r="N38" s="2"/>
      <c r="O38" s="2"/>
      <c r="P38" s="2"/>
      <c r="Q38" s="2"/>
      <c r="R38" s="2"/>
      <c r="S38" s="2"/>
      <c r="T38" s="2"/>
      <c r="U38" s="2"/>
      <c r="V38" s="2"/>
      <c r="W38" s="2"/>
      <c r="X38" s="2"/>
      <c r="Y38" s="2"/>
      <c r="Z38" s="2"/>
    </row>
    <row r="39">
      <c r="A39" s="2"/>
      <c r="B39" s="194" t="s">
        <v>330</v>
      </c>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179" t="s">
        <v>320</v>
      </c>
      <c r="C42" s="2"/>
      <c r="D42" s="2"/>
      <c r="E42" s="2"/>
      <c r="F42" s="2"/>
      <c r="G42" s="2"/>
      <c r="H42" s="2"/>
      <c r="I42" s="2"/>
      <c r="J42" s="2"/>
      <c r="K42" s="2"/>
      <c r="L42" s="2"/>
      <c r="M42" s="2"/>
      <c r="N42" s="2"/>
      <c r="O42" s="2"/>
      <c r="P42" s="2"/>
      <c r="Q42" s="2"/>
      <c r="R42" s="2"/>
      <c r="S42" s="2"/>
      <c r="T42" s="2"/>
      <c r="U42" s="2"/>
      <c r="V42" s="2"/>
      <c r="W42" s="2"/>
      <c r="X42" s="2"/>
      <c r="Y42" s="2"/>
      <c r="Z42" s="2"/>
    </row>
    <row r="43">
      <c r="A43" s="2"/>
      <c r="B43" s="180"/>
      <c r="C43" s="2"/>
      <c r="D43" s="2"/>
      <c r="E43" s="2"/>
      <c r="F43" s="2"/>
      <c r="G43" s="2"/>
      <c r="H43" s="2"/>
      <c r="I43" s="2"/>
      <c r="J43" s="2"/>
      <c r="K43" s="2"/>
      <c r="L43" s="2"/>
      <c r="M43" s="2"/>
      <c r="N43" s="2"/>
      <c r="O43" s="2"/>
      <c r="P43" s="2"/>
      <c r="Q43" s="2"/>
      <c r="R43" s="2"/>
      <c r="S43" s="2"/>
      <c r="T43" s="2"/>
      <c r="U43" s="2"/>
      <c r="V43" s="2"/>
      <c r="W43" s="2"/>
      <c r="X43" s="2"/>
      <c r="Y43" s="2"/>
      <c r="Z43" s="2"/>
    </row>
    <row r="44">
      <c r="A44" s="2"/>
      <c r="B44" s="181" t="s">
        <v>341</v>
      </c>
      <c r="C44" s="2"/>
      <c r="D44" s="2"/>
      <c r="E44" s="2"/>
      <c r="F44" s="2"/>
      <c r="G44" s="2"/>
      <c r="H44" s="2"/>
      <c r="I44" s="2"/>
      <c r="J44" s="2"/>
      <c r="K44" s="2"/>
      <c r="L44" s="2"/>
      <c r="M44" s="2"/>
      <c r="N44" s="2"/>
      <c r="O44" s="2"/>
      <c r="P44" s="2"/>
      <c r="Q44" s="2"/>
      <c r="R44" s="2"/>
      <c r="S44" s="2"/>
      <c r="T44" s="2"/>
      <c r="U44" s="2"/>
      <c r="V44" s="2"/>
      <c r="W44" s="2"/>
      <c r="X44" s="2"/>
      <c r="Y44" s="2"/>
      <c r="Z44" s="2"/>
    </row>
    <row r="45">
      <c r="A45" s="2"/>
      <c r="B45" s="182" t="s">
        <v>342</v>
      </c>
      <c r="C45" s="2"/>
      <c r="D45" s="2"/>
      <c r="E45" s="2"/>
      <c r="F45" s="2"/>
      <c r="G45" s="2"/>
      <c r="H45" s="2"/>
      <c r="I45" s="2"/>
      <c r="J45" s="2"/>
      <c r="K45" s="2"/>
      <c r="L45" s="2"/>
      <c r="M45" s="2"/>
      <c r="N45" s="2"/>
      <c r="O45" s="2"/>
      <c r="P45" s="2"/>
      <c r="Q45" s="2"/>
      <c r="R45" s="2"/>
      <c r="S45" s="2"/>
      <c r="T45" s="2"/>
      <c r="U45" s="2"/>
      <c r="V45" s="2"/>
      <c r="W45" s="2"/>
      <c r="X45" s="2"/>
      <c r="Y45" s="2"/>
      <c r="Z45" s="2"/>
    </row>
    <row r="46">
      <c r="A46" s="2"/>
      <c r="B46" s="182" t="s">
        <v>323</v>
      </c>
      <c r="C46" s="2"/>
      <c r="D46" s="2"/>
      <c r="E46" s="2"/>
      <c r="F46" s="2"/>
      <c r="G46" s="2"/>
      <c r="H46" s="2"/>
      <c r="I46" s="2"/>
      <c r="J46" s="2"/>
      <c r="K46" s="2"/>
      <c r="L46" s="2"/>
      <c r="M46" s="2"/>
      <c r="N46" s="2"/>
      <c r="O46" s="2"/>
      <c r="P46" s="2"/>
      <c r="Q46" s="2"/>
      <c r="R46" s="2"/>
      <c r="S46" s="2"/>
      <c r="T46" s="2"/>
      <c r="U46" s="2"/>
      <c r="V46" s="2"/>
      <c r="W46" s="2"/>
      <c r="X46" s="2"/>
      <c r="Y46" s="2"/>
      <c r="Z46" s="2"/>
    </row>
    <row r="47">
      <c r="A47" s="2"/>
      <c r="B47" s="195" t="s">
        <v>343</v>
      </c>
      <c r="C47" s="190"/>
      <c r="D47" s="2"/>
      <c r="E47" s="2"/>
      <c r="F47" s="2"/>
      <c r="G47" s="2"/>
      <c r="H47" s="2"/>
      <c r="I47" s="2"/>
      <c r="J47" s="2"/>
      <c r="K47" s="2"/>
      <c r="L47" s="2"/>
      <c r="M47" s="2"/>
      <c r="N47" s="2"/>
      <c r="O47" s="2"/>
      <c r="P47" s="2"/>
      <c r="Q47" s="2"/>
      <c r="R47" s="2"/>
      <c r="S47" s="2"/>
      <c r="T47" s="2"/>
      <c r="U47" s="2"/>
      <c r="V47" s="2"/>
      <c r="W47" s="2"/>
      <c r="X47" s="2"/>
      <c r="Y47" s="2"/>
      <c r="Z47" s="2"/>
    </row>
    <row r="48">
      <c r="A48" s="2"/>
      <c r="B48" s="186" t="s">
        <v>334</v>
      </c>
      <c r="C48" s="190"/>
      <c r="D48" s="2"/>
      <c r="E48" s="2"/>
      <c r="F48" s="2"/>
      <c r="G48" s="2"/>
      <c r="H48" s="2"/>
      <c r="I48" s="2"/>
      <c r="J48" s="2"/>
      <c r="K48" s="2"/>
      <c r="L48" s="2"/>
      <c r="M48" s="2"/>
      <c r="N48" s="2"/>
      <c r="O48" s="2"/>
      <c r="P48" s="2"/>
      <c r="Q48" s="2"/>
      <c r="R48" s="2"/>
      <c r="S48" s="2"/>
      <c r="T48" s="2"/>
      <c r="U48" s="2"/>
      <c r="V48" s="2"/>
      <c r="W48" s="2"/>
      <c r="X48" s="2"/>
      <c r="Y48" s="2"/>
      <c r="Z48" s="2"/>
    </row>
    <row r="49">
      <c r="A49" s="2"/>
      <c r="B49" s="186" t="s">
        <v>335</v>
      </c>
      <c r="C49" s="190"/>
      <c r="D49" s="2"/>
      <c r="E49" s="2"/>
      <c r="F49" s="2"/>
      <c r="G49" s="2"/>
      <c r="H49" s="2"/>
      <c r="I49" s="2"/>
      <c r="J49" s="2"/>
      <c r="K49" s="2"/>
      <c r="L49" s="2"/>
      <c r="M49" s="2"/>
      <c r="N49" s="2"/>
      <c r="O49" s="2"/>
      <c r="P49" s="2"/>
      <c r="Q49" s="2"/>
      <c r="R49" s="2"/>
      <c r="S49" s="2"/>
      <c r="T49" s="2"/>
      <c r="U49" s="2"/>
      <c r="V49" s="2"/>
      <c r="W49" s="2"/>
      <c r="X49" s="2"/>
      <c r="Y49" s="2"/>
      <c r="Z49" s="2"/>
    </row>
    <row r="50">
      <c r="A50" s="2"/>
      <c r="B50" s="186" t="s">
        <v>344</v>
      </c>
      <c r="C50" s="190"/>
      <c r="D50" s="2"/>
      <c r="E50" s="2"/>
      <c r="F50" s="2"/>
      <c r="G50" s="2"/>
      <c r="H50" s="2"/>
      <c r="I50" s="2"/>
      <c r="J50" s="2"/>
      <c r="K50" s="2"/>
      <c r="L50" s="2"/>
      <c r="M50" s="2"/>
      <c r="N50" s="2"/>
      <c r="O50" s="2"/>
      <c r="P50" s="2"/>
      <c r="Q50" s="2"/>
      <c r="R50" s="2"/>
      <c r="S50" s="2"/>
      <c r="T50" s="2"/>
      <c r="U50" s="2"/>
      <c r="V50" s="2"/>
      <c r="W50" s="2"/>
      <c r="X50" s="2"/>
      <c r="Y50" s="2"/>
      <c r="Z50" s="2"/>
    </row>
    <row r="51">
      <c r="A51" s="2"/>
      <c r="B51" s="196" t="s">
        <v>345</v>
      </c>
      <c r="C51" s="190"/>
      <c r="D51" s="2"/>
      <c r="E51" s="2"/>
      <c r="F51" s="2"/>
      <c r="G51" s="2"/>
      <c r="H51" s="2"/>
      <c r="I51" s="2"/>
      <c r="J51" s="2"/>
      <c r="K51" s="2"/>
      <c r="L51" s="2"/>
      <c r="M51" s="2"/>
      <c r="N51" s="2"/>
      <c r="O51" s="2"/>
      <c r="P51" s="2"/>
      <c r="Q51" s="2"/>
      <c r="R51" s="2"/>
      <c r="S51" s="2"/>
      <c r="T51" s="2"/>
      <c r="U51" s="2"/>
      <c r="V51" s="2"/>
      <c r="W51" s="2"/>
      <c r="X51" s="2"/>
      <c r="Y51" s="2"/>
      <c r="Z51" s="2"/>
    </row>
    <row r="52">
      <c r="A52" s="2"/>
      <c r="B52" s="188" t="s">
        <v>330</v>
      </c>
      <c r="C52" s="190"/>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197"/>
      <c r="B55" s="179" t="s">
        <v>320</v>
      </c>
      <c r="C55" s="2"/>
      <c r="D55" s="2"/>
      <c r="E55" s="2"/>
      <c r="F55" s="2"/>
      <c r="G55" s="2"/>
      <c r="H55" s="2"/>
      <c r="I55" s="2"/>
      <c r="J55" s="2"/>
      <c r="K55" s="2"/>
      <c r="L55" s="2"/>
      <c r="M55" s="2"/>
      <c r="N55" s="2"/>
      <c r="O55" s="2"/>
      <c r="P55" s="2"/>
      <c r="Q55" s="2"/>
      <c r="R55" s="2"/>
      <c r="S55" s="2"/>
      <c r="T55" s="2"/>
      <c r="U55" s="2"/>
      <c r="V55" s="2"/>
      <c r="W55" s="2"/>
      <c r="X55" s="2"/>
      <c r="Y55" s="2"/>
      <c r="Z55" s="2"/>
    </row>
    <row r="56">
      <c r="A56" s="197"/>
      <c r="B56" s="180"/>
      <c r="C56" s="2"/>
      <c r="D56" s="2"/>
      <c r="E56" s="2"/>
      <c r="F56" s="2"/>
      <c r="G56" s="2"/>
      <c r="H56" s="2"/>
      <c r="I56" s="2"/>
      <c r="J56" s="2"/>
      <c r="K56" s="2"/>
      <c r="L56" s="2"/>
      <c r="M56" s="2"/>
      <c r="N56" s="2"/>
      <c r="O56" s="2"/>
      <c r="P56" s="2"/>
      <c r="Q56" s="2"/>
      <c r="R56" s="2"/>
      <c r="S56" s="2"/>
      <c r="T56" s="2"/>
      <c r="U56" s="2"/>
      <c r="V56" s="2"/>
      <c r="W56" s="2"/>
      <c r="X56" s="2"/>
      <c r="Y56" s="2"/>
      <c r="Z56" s="2"/>
    </row>
    <row r="57">
      <c r="A57" s="197"/>
      <c r="B57" s="198" t="s">
        <v>346</v>
      </c>
      <c r="C57" s="199"/>
      <c r="D57" s="2"/>
      <c r="E57" s="2"/>
      <c r="F57" s="2"/>
      <c r="G57" s="2"/>
      <c r="H57" s="2"/>
      <c r="I57" s="2"/>
      <c r="J57" s="2"/>
      <c r="K57" s="2"/>
      <c r="L57" s="2"/>
      <c r="M57" s="2"/>
      <c r="N57" s="2"/>
      <c r="O57" s="2"/>
      <c r="P57" s="2"/>
      <c r="Q57" s="2"/>
      <c r="R57" s="2"/>
      <c r="S57" s="2"/>
      <c r="T57" s="2"/>
      <c r="U57" s="2"/>
      <c r="V57" s="2"/>
      <c r="W57" s="2"/>
      <c r="X57" s="2"/>
      <c r="Y57" s="2"/>
      <c r="Z57" s="2"/>
    </row>
    <row r="58">
      <c r="A58" s="197"/>
      <c r="B58" s="186" t="s">
        <v>347</v>
      </c>
      <c r="C58" s="199"/>
      <c r="D58" s="2"/>
      <c r="E58" s="2"/>
      <c r="F58" s="2"/>
      <c r="G58" s="2"/>
      <c r="H58" s="2"/>
      <c r="I58" s="2"/>
      <c r="J58" s="2"/>
      <c r="K58" s="2"/>
      <c r="L58" s="2"/>
      <c r="M58" s="2"/>
      <c r="N58" s="2"/>
      <c r="O58" s="2"/>
      <c r="P58" s="2"/>
      <c r="Q58" s="2"/>
      <c r="R58" s="2"/>
      <c r="S58" s="2"/>
      <c r="T58" s="2"/>
      <c r="U58" s="2"/>
      <c r="V58" s="2"/>
      <c r="W58" s="2"/>
      <c r="X58" s="2"/>
      <c r="Y58" s="2"/>
      <c r="Z58" s="2"/>
    </row>
    <row r="59">
      <c r="A59" s="197"/>
      <c r="B59" s="186" t="s">
        <v>323</v>
      </c>
      <c r="C59" s="200"/>
      <c r="D59" s="2"/>
      <c r="E59" s="2"/>
      <c r="F59" s="2"/>
      <c r="G59" s="2"/>
      <c r="H59" s="2"/>
      <c r="I59" s="2"/>
      <c r="J59" s="2"/>
      <c r="K59" s="2"/>
      <c r="L59" s="2"/>
      <c r="M59" s="2"/>
      <c r="N59" s="2"/>
      <c r="O59" s="2"/>
      <c r="P59" s="2"/>
      <c r="Q59" s="2"/>
      <c r="R59" s="2"/>
      <c r="S59" s="2"/>
      <c r="T59" s="2"/>
      <c r="U59" s="2"/>
      <c r="V59" s="2"/>
      <c r="W59" s="2"/>
      <c r="X59" s="2"/>
      <c r="Y59" s="2"/>
      <c r="Z59" s="2"/>
    </row>
    <row r="60">
      <c r="A60" s="197"/>
      <c r="B60" s="183" t="s">
        <v>348</v>
      </c>
      <c r="C60" s="190"/>
      <c r="D60" s="2"/>
      <c r="E60" s="2"/>
      <c r="F60" s="2"/>
      <c r="G60" s="2"/>
      <c r="H60" s="2"/>
      <c r="I60" s="2"/>
      <c r="J60" s="2"/>
      <c r="K60" s="2"/>
      <c r="L60" s="2"/>
      <c r="M60" s="2"/>
      <c r="N60" s="2"/>
      <c r="O60" s="2"/>
      <c r="P60" s="2"/>
      <c r="Q60" s="2"/>
      <c r="R60" s="2"/>
      <c r="S60" s="2"/>
      <c r="T60" s="2"/>
      <c r="U60" s="2"/>
      <c r="V60" s="2"/>
      <c r="W60" s="2"/>
      <c r="X60" s="2"/>
      <c r="Y60" s="2"/>
      <c r="Z60" s="2"/>
    </row>
    <row r="61">
      <c r="A61" s="197"/>
      <c r="B61" s="186" t="s">
        <v>326</v>
      </c>
      <c r="C61" s="190"/>
      <c r="D61" s="2"/>
      <c r="E61" s="2"/>
      <c r="F61" s="2"/>
      <c r="G61" s="2"/>
      <c r="H61" s="2"/>
      <c r="I61" s="2"/>
      <c r="J61" s="2"/>
      <c r="K61" s="2"/>
      <c r="L61" s="2"/>
      <c r="M61" s="2"/>
      <c r="N61" s="2"/>
      <c r="O61" s="2"/>
      <c r="P61" s="2"/>
      <c r="Q61" s="2"/>
      <c r="R61" s="2"/>
      <c r="S61" s="2"/>
      <c r="T61" s="2"/>
      <c r="U61" s="2"/>
      <c r="V61" s="2"/>
      <c r="W61" s="2"/>
      <c r="X61" s="2"/>
      <c r="Y61" s="2"/>
      <c r="Z61" s="2"/>
    </row>
    <row r="62">
      <c r="A62" s="197"/>
      <c r="B62" s="186" t="s">
        <v>327</v>
      </c>
      <c r="C62" s="190"/>
      <c r="D62" s="2"/>
      <c r="E62" s="2"/>
      <c r="F62" s="2"/>
      <c r="G62" s="2"/>
      <c r="H62" s="2"/>
      <c r="I62" s="2"/>
      <c r="J62" s="2"/>
      <c r="K62" s="2"/>
      <c r="L62" s="2"/>
      <c r="M62" s="2"/>
      <c r="N62" s="2"/>
      <c r="O62" s="2"/>
      <c r="P62" s="2"/>
      <c r="Q62" s="2"/>
      <c r="R62" s="2"/>
      <c r="S62" s="2"/>
      <c r="T62" s="2"/>
      <c r="U62" s="2"/>
      <c r="V62" s="2"/>
      <c r="W62" s="2"/>
      <c r="X62" s="2"/>
      <c r="Y62" s="2"/>
      <c r="Z62" s="2"/>
    </row>
    <row r="63">
      <c r="A63" s="197"/>
      <c r="B63" s="186" t="s">
        <v>349</v>
      </c>
      <c r="C63" s="190"/>
      <c r="D63" s="2"/>
      <c r="E63" s="2"/>
      <c r="F63" s="2"/>
      <c r="G63" s="2"/>
      <c r="H63" s="2"/>
      <c r="I63" s="2"/>
      <c r="J63" s="2"/>
      <c r="K63" s="2"/>
      <c r="L63" s="2"/>
      <c r="M63" s="2"/>
      <c r="N63" s="2"/>
      <c r="O63" s="2"/>
      <c r="P63" s="2"/>
      <c r="Q63" s="2"/>
      <c r="R63" s="2"/>
      <c r="S63" s="2"/>
      <c r="T63" s="2"/>
      <c r="U63" s="2"/>
      <c r="V63" s="2"/>
      <c r="W63" s="2"/>
      <c r="X63" s="2"/>
      <c r="Y63" s="2"/>
      <c r="Z63" s="2"/>
    </row>
    <row r="64">
      <c r="A64" s="197"/>
      <c r="B64" s="186" t="s">
        <v>350</v>
      </c>
      <c r="C64" s="190"/>
      <c r="D64" s="2"/>
      <c r="E64" s="2"/>
      <c r="F64" s="2"/>
      <c r="G64" s="2"/>
      <c r="H64" s="2"/>
      <c r="I64" s="2"/>
      <c r="J64" s="2"/>
      <c r="K64" s="2"/>
      <c r="L64" s="2"/>
      <c r="M64" s="2"/>
      <c r="N64" s="2"/>
      <c r="O64" s="2"/>
      <c r="P64" s="2"/>
      <c r="Q64" s="2"/>
      <c r="R64" s="2"/>
      <c r="S64" s="2"/>
      <c r="T64" s="2"/>
      <c r="U64" s="2"/>
      <c r="V64" s="2"/>
      <c r="W64" s="2"/>
      <c r="X64" s="2"/>
      <c r="Y64" s="2"/>
      <c r="Z64" s="2"/>
    </row>
    <row r="65">
      <c r="A65" s="197"/>
      <c r="B65" s="201" t="s">
        <v>351</v>
      </c>
      <c r="C65" s="190"/>
      <c r="D65" s="2"/>
      <c r="E65" s="2"/>
      <c r="F65" s="2"/>
      <c r="G65" s="2"/>
      <c r="H65" s="2"/>
      <c r="I65" s="2"/>
      <c r="J65" s="2"/>
      <c r="K65" s="2"/>
      <c r="L65" s="2"/>
      <c r="M65" s="2"/>
      <c r="N65" s="2"/>
      <c r="O65" s="2"/>
      <c r="P65" s="2"/>
      <c r="Q65" s="2"/>
      <c r="R65" s="2"/>
      <c r="S65" s="2"/>
      <c r="T65" s="2"/>
      <c r="U65" s="2"/>
      <c r="V65" s="2"/>
      <c r="W65" s="2"/>
      <c r="X65" s="2"/>
      <c r="Y65" s="2"/>
      <c r="Z65" s="2"/>
    </row>
    <row r="66">
      <c r="A66" s="197"/>
      <c r="B66" s="186" t="s">
        <v>352</v>
      </c>
      <c r="C66" s="190"/>
      <c r="D66" s="2"/>
      <c r="E66" s="2"/>
      <c r="F66" s="2"/>
      <c r="G66" s="2"/>
      <c r="H66" s="2"/>
      <c r="I66" s="2"/>
      <c r="J66" s="2"/>
      <c r="K66" s="2"/>
      <c r="L66" s="2"/>
      <c r="M66" s="2"/>
      <c r="N66" s="2"/>
      <c r="O66" s="2"/>
      <c r="P66" s="2"/>
      <c r="Q66" s="2"/>
      <c r="R66" s="2"/>
      <c r="S66" s="2"/>
      <c r="T66" s="2"/>
      <c r="U66" s="2"/>
      <c r="V66" s="2"/>
      <c r="W66" s="2"/>
      <c r="X66" s="2"/>
      <c r="Y66" s="2"/>
      <c r="Z66" s="2"/>
    </row>
    <row r="67">
      <c r="A67" s="197"/>
      <c r="B67" s="188" t="s">
        <v>330</v>
      </c>
      <c r="C67" s="190"/>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179" t="s">
        <v>320</v>
      </c>
      <c r="C70" s="2"/>
      <c r="D70" s="2"/>
      <c r="E70" s="2"/>
      <c r="F70" s="2"/>
      <c r="G70" s="2"/>
      <c r="H70" s="2"/>
      <c r="I70" s="2"/>
      <c r="J70" s="2"/>
      <c r="K70" s="2"/>
      <c r="L70" s="2"/>
      <c r="M70" s="2"/>
      <c r="N70" s="2"/>
      <c r="O70" s="2"/>
      <c r="P70" s="2"/>
      <c r="Q70" s="2"/>
      <c r="R70" s="2"/>
      <c r="S70" s="2"/>
      <c r="T70" s="2"/>
      <c r="U70" s="2"/>
      <c r="V70" s="2"/>
      <c r="W70" s="2"/>
      <c r="X70" s="2"/>
      <c r="Y70" s="2"/>
      <c r="Z70" s="2"/>
    </row>
    <row r="71">
      <c r="A71" s="2"/>
      <c r="B71" s="180"/>
      <c r="C71" s="2"/>
      <c r="D71" s="2"/>
      <c r="E71" s="2"/>
      <c r="F71" s="2"/>
      <c r="G71" s="2"/>
      <c r="H71" s="2"/>
      <c r="I71" s="2"/>
      <c r="J71" s="2"/>
      <c r="K71" s="2"/>
      <c r="L71" s="2"/>
      <c r="M71" s="2"/>
      <c r="N71" s="2"/>
      <c r="O71" s="2"/>
      <c r="P71" s="2"/>
      <c r="Q71" s="2"/>
      <c r="R71" s="2"/>
      <c r="S71" s="2"/>
      <c r="T71" s="2"/>
      <c r="U71" s="2"/>
      <c r="V71" s="2"/>
      <c r="W71" s="2"/>
      <c r="X71" s="2"/>
      <c r="Y71" s="2"/>
      <c r="Z71" s="2"/>
    </row>
    <row r="72">
      <c r="A72" s="2"/>
      <c r="B72" s="181" t="s">
        <v>353</v>
      </c>
      <c r="C72" s="2"/>
      <c r="D72" s="2"/>
      <c r="E72" s="2"/>
      <c r="F72" s="2"/>
      <c r="G72" s="2"/>
      <c r="H72" s="2"/>
      <c r="I72" s="2"/>
      <c r="J72" s="2"/>
      <c r="K72" s="2"/>
      <c r="L72" s="2"/>
      <c r="M72" s="2"/>
      <c r="N72" s="2"/>
      <c r="O72" s="2"/>
      <c r="P72" s="2"/>
      <c r="Q72" s="2"/>
      <c r="R72" s="2"/>
      <c r="S72" s="2"/>
      <c r="T72" s="2"/>
      <c r="U72" s="2"/>
      <c r="V72" s="2"/>
      <c r="W72" s="2"/>
      <c r="X72" s="2"/>
      <c r="Y72" s="2"/>
      <c r="Z72" s="2"/>
    </row>
    <row r="73">
      <c r="A73" s="2"/>
      <c r="B73" s="182" t="s">
        <v>354</v>
      </c>
      <c r="C73" s="2"/>
      <c r="D73" s="2"/>
      <c r="E73" s="2"/>
      <c r="F73" s="2"/>
      <c r="G73" s="2"/>
      <c r="H73" s="2"/>
      <c r="I73" s="2"/>
      <c r="J73" s="2"/>
      <c r="K73" s="2"/>
      <c r="L73" s="2"/>
      <c r="M73" s="2"/>
      <c r="N73" s="2"/>
      <c r="O73" s="2"/>
      <c r="P73" s="2"/>
      <c r="Q73" s="2"/>
      <c r="R73" s="2"/>
      <c r="S73" s="2"/>
      <c r="T73" s="2"/>
      <c r="U73" s="2"/>
      <c r="V73" s="2"/>
      <c r="W73" s="2"/>
      <c r="X73" s="2"/>
      <c r="Y73" s="2"/>
      <c r="Z73" s="2"/>
    </row>
    <row r="74">
      <c r="A74" s="2"/>
      <c r="B74" s="182" t="s">
        <v>323</v>
      </c>
      <c r="C74" s="2"/>
      <c r="D74" s="2"/>
      <c r="E74" s="2"/>
      <c r="F74" s="2"/>
      <c r="G74" s="2"/>
      <c r="H74" s="2"/>
      <c r="I74" s="2"/>
      <c r="J74" s="2"/>
      <c r="K74" s="2"/>
      <c r="L74" s="2"/>
      <c r="M74" s="2"/>
      <c r="N74" s="2"/>
      <c r="O74" s="2"/>
      <c r="P74" s="2"/>
      <c r="Q74" s="2"/>
      <c r="R74" s="2"/>
      <c r="S74" s="2"/>
      <c r="T74" s="2"/>
      <c r="U74" s="2"/>
      <c r="V74" s="2"/>
      <c r="W74" s="2"/>
      <c r="X74" s="2"/>
      <c r="Y74" s="2"/>
      <c r="Z74" s="2"/>
    </row>
    <row r="75">
      <c r="A75" s="2"/>
      <c r="B75" s="183" t="s">
        <v>333</v>
      </c>
      <c r="C75" s="190"/>
      <c r="D75" s="2"/>
      <c r="E75" s="2"/>
      <c r="F75" s="2"/>
      <c r="G75" s="2"/>
      <c r="H75" s="2"/>
      <c r="I75" s="2"/>
      <c r="J75" s="2"/>
      <c r="K75" s="2"/>
      <c r="L75" s="2"/>
      <c r="M75" s="2"/>
      <c r="N75" s="2"/>
      <c r="O75" s="2"/>
      <c r="P75" s="2"/>
      <c r="Q75" s="2"/>
      <c r="R75" s="2"/>
      <c r="S75" s="2"/>
      <c r="T75" s="2"/>
      <c r="U75" s="2"/>
      <c r="V75" s="2"/>
      <c r="W75" s="2"/>
      <c r="X75" s="2"/>
      <c r="Y75" s="2"/>
      <c r="Z75" s="2"/>
    </row>
    <row r="76">
      <c r="A76" s="2"/>
      <c r="B76" s="186" t="s">
        <v>334</v>
      </c>
      <c r="C76" s="190"/>
      <c r="D76" s="2"/>
      <c r="E76" s="2"/>
      <c r="F76" s="2"/>
      <c r="G76" s="2"/>
      <c r="H76" s="2"/>
      <c r="I76" s="2"/>
      <c r="J76" s="2"/>
      <c r="K76" s="2"/>
      <c r="L76" s="2"/>
      <c r="M76" s="2"/>
      <c r="N76" s="2"/>
      <c r="O76" s="2"/>
      <c r="P76" s="2"/>
      <c r="Q76" s="2"/>
      <c r="R76" s="2"/>
      <c r="S76" s="2"/>
      <c r="T76" s="2"/>
      <c r="U76" s="2"/>
      <c r="V76" s="2"/>
      <c r="W76" s="2"/>
      <c r="X76" s="2"/>
      <c r="Y76" s="2"/>
      <c r="Z76" s="2"/>
    </row>
    <row r="77">
      <c r="A77" s="2"/>
      <c r="B77" s="186" t="s">
        <v>335</v>
      </c>
      <c r="C77" s="190"/>
      <c r="D77" s="2"/>
      <c r="E77" s="2"/>
      <c r="F77" s="2"/>
      <c r="G77" s="2"/>
      <c r="H77" s="2"/>
      <c r="I77" s="2"/>
      <c r="J77" s="2"/>
      <c r="K77" s="2"/>
      <c r="L77" s="2"/>
      <c r="M77" s="2"/>
      <c r="N77" s="2"/>
      <c r="O77" s="2"/>
      <c r="P77" s="2"/>
      <c r="Q77" s="2"/>
      <c r="R77" s="2"/>
      <c r="S77" s="2"/>
      <c r="T77" s="2"/>
      <c r="U77" s="2"/>
      <c r="V77" s="2"/>
      <c r="W77" s="2"/>
      <c r="X77" s="2"/>
      <c r="Y77" s="2"/>
      <c r="Z77" s="2"/>
    </row>
    <row r="78">
      <c r="A78" s="2"/>
      <c r="B78" s="186" t="s">
        <v>355</v>
      </c>
      <c r="C78" s="190"/>
      <c r="D78" s="2"/>
      <c r="E78" s="2"/>
      <c r="F78" s="2"/>
      <c r="G78" s="2"/>
      <c r="H78" s="2"/>
      <c r="I78" s="2"/>
      <c r="J78" s="2"/>
      <c r="K78" s="2"/>
      <c r="L78" s="2"/>
      <c r="M78" s="2"/>
      <c r="N78" s="2"/>
      <c r="O78" s="2"/>
      <c r="P78" s="2"/>
      <c r="Q78" s="2"/>
      <c r="R78" s="2"/>
      <c r="S78" s="2"/>
      <c r="T78" s="2"/>
      <c r="U78" s="2"/>
      <c r="V78" s="2"/>
      <c r="W78" s="2"/>
      <c r="X78" s="2"/>
      <c r="Y78" s="2"/>
      <c r="Z78" s="2"/>
    </row>
    <row r="79">
      <c r="A79" s="2"/>
      <c r="B79" s="201" t="s">
        <v>356</v>
      </c>
      <c r="C79" s="190"/>
      <c r="D79" s="2"/>
      <c r="E79" s="2"/>
      <c r="F79" s="2"/>
      <c r="G79" s="2"/>
      <c r="H79" s="2"/>
      <c r="I79" s="2"/>
      <c r="J79" s="2"/>
      <c r="K79" s="2"/>
      <c r="L79" s="2"/>
      <c r="M79" s="2"/>
      <c r="N79" s="2"/>
      <c r="O79" s="2"/>
      <c r="P79" s="2"/>
      <c r="Q79" s="2"/>
      <c r="R79" s="2"/>
      <c r="S79" s="2"/>
      <c r="T79" s="2"/>
      <c r="U79" s="2"/>
      <c r="V79" s="2"/>
      <c r="W79" s="2"/>
      <c r="X79" s="2"/>
      <c r="Y79" s="2"/>
      <c r="Z79" s="2"/>
    </row>
    <row r="80">
      <c r="A80" s="2"/>
      <c r="B80" s="188" t="s">
        <v>330</v>
      </c>
      <c r="C80" s="190"/>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sheetData>
  <mergeCells count="5">
    <mergeCell ref="B3:B4"/>
    <mergeCell ref="B17:B18"/>
    <mergeCell ref="B42:B43"/>
    <mergeCell ref="B55:B56"/>
    <mergeCell ref="B70:B71"/>
  </mergeCells>
  <hyperlinks>
    <hyperlink r:id="rId1" ref="B13"/>
    <hyperlink r:id="rId2" ref="B26"/>
    <hyperlink r:id="rId3" ref="B38"/>
    <hyperlink r:id="rId4" ref="B65"/>
    <hyperlink r:id="rId5" ref="B79"/>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5"/>
    <col customWidth="1" min="4" max="4" width="57.0"/>
    <col customWidth="1" min="5" max="5" width="19.0"/>
  </cols>
  <sheetData>
    <row r="1">
      <c r="A1" s="197"/>
      <c r="B1" s="197"/>
      <c r="C1" s="197"/>
      <c r="D1" s="197"/>
      <c r="E1" s="197"/>
      <c r="F1" s="197"/>
      <c r="G1" s="197"/>
      <c r="H1" s="197"/>
      <c r="I1" s="197"/>
      <c r="J1" s="197"/>
      <c r="K1" s="197"/>
      <c r="L1" s="197"/>
      <c r="M1" s="197"/>
      <c r="N1" s="197"/>
      <c r="O1" s="197"/>
      <c r="P1" s="197"/>
      <c r="Q1" s="197"/>
      <c r="R1" s="197"/>
      <c r="S1" s="197"/>
      <c r="T1" s="197"/>
      <c r="U1" s="197"/>
      <c r="V1" s="197"/>
      <c r="W1" s="197"/>
      <c r="X1" s="197"/>
      <c r="Y1" s="197"/>
      <c r="Z1" s="197"/>
    </row>
    <row r="2">
      <c r="A2" s="197"/>
      <c r="B2" s="197"/>
      <c r="C2" s="197"/>
      <c r="D2" s="197"/>
      <c r="E2" s="197"/>
      <c r="F2" s="197"/>
      <c r="G2" s="197"/>
      <c r="H2" s="197"/>
      <c r="I2" s="197"/>
      <c r="J2" s="197"/>
      <c r="K2" s="197"/>
      <c r="L2" s="197"/>
      <c r="M2" s="197"/>
      <c r="N2" s="197"/>
      <c r="O2" s="197"/>
      <c r="P2" s="197"/>
      <c r="Q2" s="197"/>
      <c r="R2" s="197"/>
      <c r="S2" s="197"/>
      <c r="T2" s="197"/>
      <c r="U2" s="197"/>
      <c r="V2" s="197"/>
      <c r="W2" s="197"/>
      <c r="X2" s="197"/>
      <c r="Y2" s="197"/>
      <c r="Z2" s="197"/>
    </row>
    <row r="3" ht="33.0" customHeight="1">
      <c r="A3" s="197"/>
      <c r="B3" s="202" t="s">
        <v>357</v>
      </c>
      <c r="C3" s="46"/>
      <c r="D3" s="46"/>
      <c r="E3" s="5"/>
      <c r="F3" s="197"/>
      <c r="G3" s="197"/>
      <c r="H3" s="197"/>
      <c r="I3" s="197"/>
      <c r="J3" s="197"/>
      <c r="K3" s="197"/>
      <c r="L3" s="197"/>
      <c r="M3" s="197"/>
      <c r="N3" s="197"/>
      <c r="O3" s="197"/>
      <c r="P3" s="197"/>
      <c r="Q3" s="197"/>
      <c r="R3" s="197"/>
      <c r="S3" s="197"/>
      <c r="T3" s="197"/>
      <c r="U3" s="197"/>
      <c r="V3" s="197"/>
      <c r="W3" s="197"/>
      <c r="X3" s="197"/>
      <c r="Y3" s="197"/>
      <c r="Z3" s="197"/>
    </row>
    <row r="4">
      <c r="A4" s="197"/>
      <c r="B4" s="203" t="s">
        <v>82</v>
      </c>
      <c r="C4" s="203" t="s">
        <v>358</v>
      </c>
      <c r="D4" s="203" t="s">
        <v>301</v>
      </c>
      <c r="E4" s="203" t="s">
        <v>359</v>
      </c>
      <c r="F4" s="197"/>
      <c r="G4" s="197"/>
      <c r="H4" s="197"/>
      <c r="I4" s="197"/>
      <c r="J4" s="197"/>
      <c r="K4" s="197"/>
      <c r="L4" s="197"/>
      <c r="M4" s="197"/>
      <c r="N4" s="197"/>
      <c r="O4" s="197"/>
      <c r="P4" s="197"/>
      <c r="Q4" s="197"/>
      <c r="R4" s="197"/>
      <c r="S4" s="197"/>
      <c r="T4" s="197"/>
      <c r="U4" s="197"/>
      <c r="V4" s="197"/>
      <c r="W4" s="197"/>
      <c r="X4" s="197"/>
      <c r="Y4" s="197"/>
      <c r="Z4" s="197"/>
    </row>
    <row r="5">
      <c r="A5" s="197"/>
      <c r="B5" s="9">
        <v>1.0</v>
      </c>
      <c r="C5" s="204" t="s">
        <v>360</v>
      </c>
      <c r="D5" s="205" t="s">
        <v>361</v>
      </c>
      <c r="E5" s="9" t="s">
        <v>362</v>
      </c>
      <c r="F5" s="197"/>
      <c r="G5" s="197"/>
      <c r="H5" s="197"/>
      <c r="I5" s="197"/>
      <c r="J5" s="197"/>
      <c r="K5" s="197"/>
      <c r="L5" s="197"/>
      <c r="M5" s="197"/>
      <c r="N5" s="197"/>
      <c r="O5" s="197"/>
      <c r="P5" s="197"/>
      <c r="Q5" s="197"/>
      <c r="R5" s="197"/>
      <c r="S5" s="197"/>
      <c r="T5" s="197"/>
      <c r="U5" s="197"/>
      <c r="V5" s="197"/>
      <c r="W5" s="197"/>
      <c r="X5" s="197"/>
      <c r="Y5" s="197"/>
      <c r="Z5" s="197"/>
    </row>
    <row r="6">
      <c r="A6" s="197"/>
      <c r="B6" s="9">
        <v>2.0</v>
      </c>
      <c r="C6" s="204" t="s">
        <v>363</v>
      </c>
      <c r="D6" s="205" t="s">
        <v>364</v>
      </c>
      <c r="E6" s="9" t="s">
        <v>365</v>
      </c>
      <c r="F6" s="197"/>
      <c r="G6" s="197"/>
      <c r="H6" s="197"/>
      <c r="I6" s="197"/>
      <c r="J6" s="197"/>
      <c r="K6" s="197"/>
      <c r="L6" s="197"/>
      <c r="M6" s="197"/>
      <c r="N6" s="197"/>
      <c r="O6" s="197"/>
      <c r="P6" s="197"/>
      <c r="Q6" s="197"/>
      <c r="R6" s="197"/>
      <c r="S6" s="197"/>
      <c r="T6" s="197"/>
      <c r="U6" s="197"/>
      <c r="V6" s="197"/>
      <c r="W6" s="197"/>
      <c r="X6" s="197"/>
      <c r="Y6" s="197"/>
      <c r="Z6" s="197"/>
    </row>
    <row r="7">
      <c r="A7" s="197"/>
      <c r="B7" s="9">
        <v>3.0</v>
      </c>
      <c r="C7" s="204" t="s">
        <v>366</v>
      </c>
      <c r="D7" s="205" t="s">
        <v>367</v>
      </c>
      <c r="E7" s="9" t="s">
        <v>368</v>
      </c>
      <c r="F7" s="197"/>
      <c r="G7" s="197"/>
      <c r="H7" s="197"/>
      <c r="I7" s="197"/>
      <c r="J7" s="197"/>
      <c r="K7" s="197"/>
      <c r="L7" s="197"/>
      <c r="M7" s="197"/>
      <c r="N7" s="197"/>
      <c r="O7" s="197"/>
      <c r="P7" s="197"/>
      <c r="Q7" s="197"/>
      <c r="R7" s="197"/>
      <c r="S7" s="197"/>
      <c r="T7" s="197"/>
      <c r="U7" s="197"/>
      <c r="V7" s="197"/>
      <c r="W7" s="197"/>
      <c r="X7" s="197"/>
      <c r="Y7" s="197"/>
      <c r="Z7" s="197"/>
    </row>
    <row r="8">
      <c r="A8" s="197"/>
      <c r="B8" s="9">
        <v>4.0</v>
      </c>
      <c r="C8" s="204" t="s">
        <v>369</v>
      </c>
      <c r="D8" s="205" t="s">
        <v>370</v>
      </c>
      <c r="E8" s="9" t="s">
        <v>371</v>
      </c>
      <c r="F8" s="197"/>
      <c r="G8" s="197"/>
      <c r="H8" s="197"/>
      <c r="I8" s="197"/>
      <c r="J8" s="197"/>
      <c r="K8" s="197"/>
      <c r="L8" s="197"/>
      <c r="M8" s="197"/>
      <c r="N8" s="197"/>
      <c r="O8" s="197"/>
      <c r="P8" s="197"/>
      <c r="Q8" s="197"/>
      <c r="R8" s="197"/>
      <c r="S8" s="197"/>
      <c r="T8" s="197"/>
      <c r="U8" s="197"/>
      <c r="V8" s="197"/>
      <c r="W8" s="197"/>
      <c r="X8" s="197"/>
      <c r="Y8" s="197"/>
      <c r="Z8" s="197"/>
    </row>
    <row r="9">
      <c r="A9" s="197"/>
      <c r="B9" s="9">
        <v>5.0</v>
      </c>
      <c r="C9" s="204" t="s">
        <v>372</v>
      </c>
      <c r="D9" s="205" t="s">
        <v>373</v>
      </c>
      <c r="E9" s="9" t="s">
        <v>365</v>
      </c>
      <c r="F9" s="197"/>
      <c r="G9" s="197"/>
      <c r="H9" s="197"/>
      <c r="I9" s="197"/>
      <c r="J9" s="197"/>
      <c r="K9" s="197"/>
      <c r="L9" s="197"/>
      <c r="M9" s="197"/>
      <c r="N9" s="197"/>
      <c r="O9" s="197"/>
      <c r="P9" s="197"/>
      <c r="Q9" s="197"/>
      <c r="R9" s="197"/>
      <c r="S9" s="197"/>
      <c r="T9" s="197"/>
      <c r="U9" s="197"/>
      <c r="V9" s="197"/>
      <c r="W9" s="197"/>
      <c r="X9" s="197"/>
      <c r="Y9" s="197"/>
      <c r="Z9" s="197"/>
    </row>
    <row r="10">
      <c r="A10" s="197"/>
      <c r="B10" s="9">
        <v>6.0</v>
      </c>
      <c r="C10" s="204" t="s">
        <v>374</v>
      </c>
      <c r="D10" s="205" t="s">
        <v>375</v>
      </c>
      <c r="E10" s="9" t="s">
        <v>196</v>
      </c>
      <c r="F10" s="197"/>
      <c r="G10" s="197"/>
      <c r="H10" s="197"/>
      <c r="I10" s="197"/>
      <c r="J10" s="197"/>
      <c r="K10" s="197"/>
      <c r="L10" s="197"/>
      <c r="M10" s="197"/>
      <c r="N10" s="197"/>
      <c r="O10" s="197"/>
      <c r="P10" s="197"/>
      <c r="Q10" s="197"/>
      <c r="R10" s="197"/>
      <c r="S10" s="197"/>
      <c r="T10" s="197"/>
      <c r="U10" s="197"/>
      <c r="V10" s="197"/>
      <c r="W10" s="197"/>
      <c r="X10" s="197"/>
      <c r="Y10" s="197"/>
      <c r="Z10" s="197"/>
    </row>
    <row r="11">
      <c r="A11" s="197"/>
      <c r="B11" s="9">
        <v>7.0</v>
      </c>
      <c r="C11" s="204" t="s">
        <v>376</v>
      </c>
      <c r="D11" s="205" t="s">
        <v>377</v>
      </c>
      <c r="E11" s="9" t="s">
        <v>196</v>
      </c>
      <c r="F11" s="197"/>
      <c r="G11" s="197"/>
      <c r="H11" s="197"/>
      <c r="I11" s="197"/>
      <c r="J11" s="197"/>
      <c r="K11" s="197"/>
      <c r="L11" s="197"/>
      <c r="M11" s="197"/>
      <c r="N11" s="197"/>
      <c r="O11" s="197"/>
      <c r="P11" s="197"/>
      <c r="Q11" s="197"/>
      <c r="R11" s="197"/>
      <c r="S11" s="197"/>
      <c r="T11" s="197"/>
      <c r="U11" s="197"/>
      <c r="V11" s="197"/>
      <c r="W11" s="197"/>
      <c r="X11" s="197"/>
      <c r="Y11" s="197"/>
      <c r="Z11" s="197"/>
    </row>
    <row r="12">
      <c r="A12" s="197"/>
      <c r="B12" s="9">
        <v>8.0</v>
      </c>
      <c r="C12" s="204" t="s">
        <v>378</v>
      </c>
      <c r="D12" s="205" t="s">
        <v>379</v>
      </c>
      <c r="E12" s="9" t="s">
        <v>196</v>
      </c>
      <c r="F12" s="197"/>
      <c r="G12" s="197"/>
      <c r="H12" s="197"/>
      <c r="I12" s="197"/>
      <c r="J12" s="197"/>
      <c r="K12" s="197"/>
      <c r="L12" s="197"/>
      <c r="M12" s="197"/>
      <c r="N12" s="197"/>
      <c r="O12" s="197"/>
      <c r="P12" s="197"/>
      <c r="Q12" s="197"/>
      <c r="R12" s="197"/>
      <c r="S12" s="197"/>
      <c r="T12" s="197"/>
      <c r="U12" s="197"/>
      <c r="V12" s="197"/>
      <c r="W12" s="197"/>
      <c r="X12" s="197"/>
      <c r="Y12" s="197"/>
      <c r="Z12" s="197"/>
    </row>
    <row r="13">
      <c r="A13" s="197"/>
      <c r="B13" s="9">
        <v>9.0</v>
      </c>
      <c r="C13" s="204" t="s">
        <v>380</v>
      </c>
      <c r="D13" s="205" t="s">
        <v>381</v>
      </c>
      <c r="E13" s="9" t="s">
        <v>196</v>
      </c>
      <c r="F13" s="197"/>
      <c r="G13" s="197"/>
      <c r="H13" s="197"/>
      <c r="I13" s="197"/>
      <c r="J13" s="197"/>
      <c r="K13" s="197"/>
      <c r="L13" s="197"/>
      <c r="M13" s="197"/>
      <c r="N13" s="197"/>
      <c r="O13" s="197"/>
      <c r="P13" s="197"/>
      <c r="Q13" s="197"/>
      <c r="R13" s="197"/>
      <c r="S13" s="197"/>
      <c r="T13" s="197"/>
      <c r="U13" s="197"/>
      <c r="V13" s="197"/>
      <c r="W13" s="197"/>
      <c r="X13" s="197"/>
      <c r="Y13" s="197"/>
      <c r="Z13" s="197"/>
    </row>
    <row r="14">
      <c r="A14" s="197"/>
      <c r="B14" s="9">
        <v>10.0</v>
      </c>
      <c r="C14" s="204" t="s">
        <v>382</v>
      </c>
      <c r="D14" s="205" t="s">
        <v>383</v>
      </c>
      <c r="E14" s="9" t="s">
        <v>196</v>
      </c>
      <c r="F14" s="197"/>
      <c r="G14" s="197"/>
      <c r="H14" s="197"/>
      <c r="I14" s="197"/>
      <c r="J14" s="197"/>
      <c r="K14" s="197"/>
      <c r="L14" s="197"/>
      <c r="M14" s="197"/>
      <c r="N14" s="197"/>
      <c r="O14" s="197"/>
      <c r="P14" s="197"/>
      <c r="Q14" s="197"/>
      <c r="R14" s="197"/>
      <c r="S14" s="197"/>
      <c r="T14" s="197"/>
      <c r="U14" s="197"/>
      <c r="V14" s="197"/>
      <c r="W14" s="197"/>
      <c r="X14" s="197"/>
      <c r="Y14" s="197"/>
      <c r="Z14" s="197"/>
    </row>
    <row r="15">
      <c r="A15" s="197"/>
      <c r="B15" s="9">
        <v>11.0</v>
      </c>
      <c r="C15" s="204" t="s">
        <v>384</v>
      </c>
      <c r="D15" s="205" t="s">
        <v>385</v>
      </c>
      <c r="E15" s="9" t="s">
        <v>196</v>
      </c>
      <c r="F15" s="197"/>
      <c r="G15" s="197"/>
      <c r="H15" s="197"/>
      <c r="I15" s="197"/>
      <c r="J15" s="197"/>
      <c r="K15" s="197"/>
      <c r="L15" s="197"/>
      <c r="M15" s="197"/>
      <c r="N15" s="197"/>
      <c r="O15" s="197"/>
      <c r="P15" s="197"/>
      <c r="Q15" s="197"/>
      <c r="R15" s="197"/>
      <c r="S15" s="197"/>
      <c r="T15" s="197"/>
      <c r="U15" s="197"/>
      <c r="V15" s="197"/>
      <c r="W15" s="197"/>
      <c r="X15" s="197"/>
      <c r="Y15" s="197"/>
      <c r="Z15" s="197"/>
    </row>
    <row r="16">
      <c r="A16" s="197"/>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c r="A17" s="197"/>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row>
    <row r="18">
      <c r="A18" s="197"/>
      <c r="B18" s="197"/>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c r="A19" s="197"/>
      <c r="B19" s="197"/>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c r="A20" s="197"/>
      <c r="B20" s="197"/>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sheetData>
  <mergeCells count="1">
    <mergeCell ref="B3:E3"/>
  </mergeCells>
  <drawing r:id="rId1"/>
</worksheet>
</file>